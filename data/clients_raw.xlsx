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-banking-analysis\data\"/>
    </mc:Choice>
  </mc:AlternateContent>
  <xr:revisionPtr revIDLastSave="0" documentId="13_ncr:1_{D881945D-D20C-468F-A582-DD76FB05A6DB}" xr6:coauthVersionLast="47" xr6:coauthVersionMax="47" xr10:uidLastSave="{00000000-0000-0000-0000-000000000000}"/>
  <bookViews>
    <workbookView xWindow="-110" yWindow="-110" windowWidth="19420" windowHeight="11020" xr2:uid="{CB1A3C12-B4AD-4471-BD07-3F4ED479D8B7}"/>
  </bookViews>
  <sheets>
    <sheet name="clients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<sst xmlns="http://schemas.openxmlformats.org/spreadsheetml/2006/main" count="107" uniqueCount="70">
  <si>
    <t>ID_Client</t>
  </si>
  <si>
    <t>Nom</t>
  </si>
  <si>
    <t>Prénom</t>
  </si>
  <si>
    <t>Type_Compte</t>
  </si>
  <si>
    <t>Solde_FCFA</t>
  </si>
  <si>
    <t>Statut</t>
  </si>
  <si>
    <t>Date_Ouverture</t>
  </si>
  <si>
    <t>Agence</t>
  </si>
  <si>
    <t>Categorie_Solde</t>
  </si>
  <si>
    <t>C001</t>
  </si>
  <si>
    <t>MBARGA</t>
  </si>
  <si>
    <t>Paul</t>
  </si>
  <si>
    <t>Courant</t>
  </si>
  <si>
    <t>Actif</t>
  </si>
  <si>
    <t>Akwa</t>
  </si>
  <si>
    <t>C002</t>
  </si>
  <si>
    <t>FOTSO</t>
  </si>
  <si>
    <t>Marie</t>
  </si>
  <si>
    <t>Epargne</t>
  </si>
  <si>
    <t>Bonanjo</t>
  </si>
  <si>
    <t>C003</t>
  </si>
  <si>
    <t>NJIKE</t>
  </si>
  <si>
    <t>Jean</t>
  </si>
  <si>
    <t>22/11/2021</t>
  </si>
  <si>
    <t>C004</t>
  </si>
  <si>
    <t>BELLO</t>
  </si>
  <si>
    <t>Aissatou</t>
  </si>
  <si>
    <t>Professionnel</t>
  </si>
  <si>
    <t>15/01/2018</t>
  </si>
  <si>
    <t>Bassa</t>
  </si>
  <si>
    <t>C005</t>
  </si>
  <si>
    <t>SIMO</t>
  </si>
  <si>
    <t>Cédric</t>
  </si>
  <si>
    <t>Inactif</t>
  </si>
  <si>
    <t>30/06/2022</t>
  </si>
  <si>
    <t>C006</t>
  </si>
  <si>
    <t>NKOA</t>
  </si>
  <si>
    <t>Flore</t>
  </si>
  <si>
    <t>C007</t>
  </si>
  <si>
    <t>ABANDA</t>
  </si>
  <si>
    <t>Roger</t>
  </si>
  <si>
    <t>14/02/2016</t>
  </si>
  <si>
    <t>C008</t>
  </si>
  <si>
    <t>MANGA</t>
  </si>
  <si>
    <t>Sophie</t>
  </si>
  <si>
    <t>20/04/2023</t>
  </si>
  <si>
    <t>C009</t>
  </si>
  <si>
    <t>TCHOUPO</t>
  </si>
  <si>
    <t>Alain</t>
  </si>
  <si>
    <t>C010</t>
  </si>
  <si>
    <t>DJOUMBE</t>
  </si>
  <si>
    <t>Estelle</t>
  </si>
  <si>
    <t>C011</t>
  </si>
  <si>
    <t>KAMGA</t>
  </si>
  <si>
    <t>Thiery</t>
  </si>
  <si>
    <t>28/08/2015</t>
  </si>
  <si>
    <t>C012</t>
  </si>
  <si>
    <t>ETOA</t>
  </si>
  <si>
    <t>Brigitte</t>
  </si>
  <si>
    <t>17/10/2022</t>
  </si>
  <si>
    <t>C013</t>
  </si>
  <si>
    <t>OUMAROU</t>
  </si>
  <si>
    <t>Ibrahim</t>
  </si>
  <si>
    <t>C014</t>
  </si>
  <si>
    <t>NGUEMA</t>
  </si>
  <si>
    <t>Laure</t>
  </si>
  <si>
    <t>25/01/2020</t>
  </si>
  <si>
    <t>C015</t>
  </si>
  <si>
    <t>FOKAM</t>
  </si>
  <si>
    <t>Olivier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</si>
</sst>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15F1-45CE-4B3C-A930-004A8FFED65F}">
  <dimension ref="A1:I16"/>
  <sheetViews>
    <sheetView tabSelected="1" workbookViewId="0">
      <selection activeCell="L14" sqref="L14"/>
    </sheetView>
  </sheetViews>
  <sheetFormatPr baseColWidth="10" defaultRowHeight="14.5" x14ac:dyDescent="0.35"/>
  <cols>
    <col min="1" max="1" width="8.54296875" bestFit="1" customWidth="1"/>
    <col min="2" max="2" width="9.7265625" bestFit="1" customWidth="1"/>
    <col min="3" max="3" width="7.81640625" bestFit="1" customWidth="1"/>
    <col min="4" max="4" width="12.1796875" bestFit="1" customWidth="1"/>
    <col min="5" max="5" width="10.7265625" bestFit="1" customWidth="1"/>
    <col min="6" max="6" width="5.90625" bestFit="1" customWidth="1"/>
    <col min="7" max="7" width="13.81640625" bestFit="1" customWidth="1"/>
    <col min="8" max="8" width="7.36328125" bestFit="1" customWidth="1"/>
    <col min="9" max="9" width="14.36328125" bestFit="1" customWidth="1"/>
  </cols>
  <sheetData>
    <row r="1" spans="1:9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ht="19.5" customHeight="1" x14ac:dyDescent="0.35">
      <c r="A2" s="4" t="s">
        <v>9</v>
      </c>
      <c r="B2" s="4" t="s">
        <v>10</v>
      </c>
      <c r="C2" s="4" t="s">
        <v>11</v>
      </c>
      <c r="D2" s="4" t="s">
        <v>12</v>
      </c>
      <c r="E2" s="5">
        <v>1250000</v>
      </c>
      <c r="F2" s="4" t="s">
        <v>13</v>
      </c>
      <c r="G2" s="6">
        <v>44168</v>
      </c>
      <c r="H2" s="4" t="s">
        <v>14</v>
      </c>
      <c r="I2" s="4" t="str">
        <f>IF(E2=0,"Compte vide",IF(E2&lt;500000,"Solde fiable",IF(E2&lt;5000000,"Solde moyen","Solde eleve")))</f>
        <v>Solde moyen</v>
      </c>
    </row>
    <row r="3" spans="1:9" ht="19.5" customHeight="1" x14ac:dyDescent="0.35">
      <c r="A3" s="4" t="s">
        <v>15</v>
      </c>
      <c r="B3" s="4" t="s">
        <v>16</v>
      </c>
      <c r="C3" s="4" t="s">
        <v>17</v>
      </c>
      <c r="D3" s="4" t="s">
        <v>18</v>
      </c>
      <c r="E3" s="5">
        <v>3800000</v>
      </c>
      <c r="F3" s="4" t="s">
        <v>13</v>
      </c>
      <c r="G3" s="6">
        <v>43592</v>
      </c>
      <c r="H3" s="4" t="s">
        <v>19</v>
      </c>
      <c r="I3" s="4" t="str">
        <f t="shared" ref="I3:I16" si="0">IF(E3=0,"Compte vide",IF(E3&lt;500000,"Solde fiable",IF(E3&lt;5000000,"Solde moyen","Solde eleve")))</f>
        <v>Solde moyen</v>
      </c>
    </row>
    <row r="4" spans="1:9" ht="19.5" customHeight="1" x14ac:dyDescent="0.35">
      <c r="A4" s="4" t="s">
        <v>20</v>
      </c>
      <c r="B4" s="4" t="s">
        <v>21</v>
      </c>
      <c r="C4" s="4" t="s">
        <v>22</v>
      </c>
      <c r="D4" s="4" t="s">
        <v>12</v>
      </c>
      <c r="E4" s="5">
        <v>450000</v>
      </c>
      <c r="F4" s="4" t="s">
        <v>13</v>
      </c>
      <c r="G4" s="6" t="s">
        <v>23</v>
      </c>
      <c r="H4" s="4" t="s">
        <v>14</v>
      </c>
      <c r="I4" s="4" t="str">
        <f t="shared" si="0"/>
        <v>Solde fiable</v>
      </c>
    </row>
    <row r="5" spans="1:9" ht="19.5" customHeight="1" x14ac:dyDescent="0.35">
      <c r="A5" s="4" t="s">
        <v>24</v>
      </c>
      <c r="B5" s="4" t="s">
        <v>25</v>
      </c>
      <c r="C5" s="4" t="s">
        <v>26</v>
      </c>
      <c r="D5" s="4" t="s">
        <v>27</v>
      </c>
      <c r="E5" s="5">
        <v>8200000</v>
      </c>
      <c r="F5" s="4" t="s">
        <v>13</v>
      </c>
      <c r="G5" s="6" t="s">
        <v>28</v>
      </c>
      <c r="H5" s="4" t="s">
        <v>29</v>
      </c>
      <c r="I5" s="4" t="str">
        <f t="shared" si="0"/>
        <v>Solde eleve</v>
      </c>
    </row>
    <row r="6" spans="1:9" ht="19.5" customHeight="1" x14ac:dyDescent="0.35">
      <c r="A6" s="4" t="s">
        <v>30</v>
      </c>
      <c r="B6" s="4" t="s">
        <v>31</v>
      </c>
      <c r="C6" s="4" t="s">
        <v>32</v>
      </c>
      <c r="D6" s="4" t="s">
        <v>18</v>
      </c>
      <c r="E6" s="5">
        <v>125000</v>
      </c>
      <c r="F6" s="4" t="s">
        <v>33</v>
      </c>
      <c r="G6" s="6" t="s">
        <v>34</v>
      </c>
      <c r="H6" s="4" t="s">
        <v>14</v>
      </c>
      <c r="I6" s="4" t="str">
        <f t="shared" si="0"/>
        <v>Solde fiable</v>
      </c>
    </row>
    <row r="7" spans="1:9" ht="19.5" customHeight="1" x14ac:dyDescent="0.35">
      <c r="A7" s="4" t="s">
        <v>35</v>
      </c>
      <c r="B7" s="4" t="s">
        <v>36</v>
      </c>
      <c r="C7" s="4" t="s">
        <v>37</v>
      </c>
      <c r="D7" s="4" t="s">
        <v>12</v>
      </c>
      <c r="E7" s="5">
        <v>2100000</v>
      </c>
      <c r="F7" s="4" t="s">
        <v>13</v>
      </c>
      <c r="G7" s="6">
        <v>42956</v>
      </c>
      <c r="H7" s="4" t="s">
        <v>19</v>
      </c>
      <c r="I7" s="4" t="str">
        <f t="shared" si="0"/>
        <v>Solde moyen</v>
      </c>
    </row>
    <row r="8" spans="1:9" ht="19.5" customHeight="1" x14ac:dyDescent="0.35">
      <c r="A8" s="4" t="s">
        <v>38</v>
      </c>
      <c r="B8" s="4" t="s">
        <v>39</v>
      </c>
      <c r="C8" s="4" t="s">
        <v>40</v>
      </c>
      <c r="D8" s="4" t="s">
        <v>27</v>
      </c>
      <c r="E8" s="5">
        <v>15600000</v>
      </c>
      <c r="F8" s="4" t="s">
        <v>13</v>
      </c>
      <c r="G8" s="6" t="s">
        <v>41</v>
      </c>
      <c r="H8" s="4" t="s">
        <v>29</v>
      </c>
      <c r="I8" s="4" t="str">
        <f t="shared" si="0"/>
        <v>Solde eleve</v>
      </c>
    </row>
    <row r="9" spans="1:9" ht="19.5" customHeight="1" x14ac:dyDescent="0.35">
      <c r="A9" s="4" t="s">
        <v>42</v>
      </c>
      <c r="B9" s="4" t="s">
        <v>43</v>
      </c>
      <c r="C9" s="4" t="s">
        <v>44</v>
      </c>
      <c r="D9" s="4" t="s">
        <v>12</v>
      </c>
      <c r="E9" s="5">
        <v>0</v>
      </c>
      <c r="F9" s="4" t="s">
        <v>33</v>
      </c>
      <c r="G9" s="6" t="s">
        <v>45</v>
      </c>
      <c r="H9" s="4" t="s">
        <v>14</v>
      </c>
      <c r="I9" s="4" t="str">
        <f t="shared" si="0"/>
        <v>Compte vide</v>
      </c>
    </row>
    <row r="10" spans="1:9" ht="19.5" customHeight="1" x14ac:dyDescent="0.35">
      <c r="A10" s="4" t="s">
        <v>46</v>
      </c>
      <c r="B10" s="4" t="s">
        <v>47</v>
      </c>
      <c r="C10" s="4" t="s">
        <v>48</v>
      </c>
      <c r="D10" s="4" t="s">
        <v>18</v>
      </c>
      <c r="E10" s="5">
        <v>5400000</v>
      </c>
      <c r="F10" s="4" t="s">
        <v>13</v>
      </c>
      <c r="G10" s="6">
        <v>43781</v>
      </c>
      <c r="H10" s="4" t="s">
        <v>19</v>
      </c>
      <c r="I10" s="4" t="str">
        <f t="shared" si="0"/>
        <v>Solde eleve</v>
      </c>
    </row>
    <row r="11" spans="1:9" ht="19.5" customHeight="1" x14ac:dyDescent="0.35">
      <c r="A11" s="4" t="s">
        <v>49</v>
      </c>
      <c r="B11" s="4" t="s">
        <v>50</v>
      </c>
      <c r="C11" s="4" t="s">
        <v>51</v>
      </c>
      <c r="D11" s="4" t="s">
        <v>12</v>
      </c>
      <c r="E11" s="5">
        <v>780000</v>
      </c>
      <c r="F11" s="4" t="s">
        <v>13</v>
      </c>
      <c r="G11" s="6">
        <v>44258</v>
      </c>
      <c r="H11" s="4" t="s">
        <v>14</v>
      </c>
      <c r="I11" s="4" t="str">
        <f t="shared" si="0"/>
        <v>Solde moyen</v>
      </c>
    </row>
    <row r="12" spans="1:9" ht="19.5" customHeight="1" x14ac:dyDescent="0.35">
      <c r="A12" s="4" t="s">
        <v>52</v>
      </c>
      <c r="B12" s="4" t="s">
        <v>53</v>
      </c>
      <c r="C12" s="4" t="s">
        <v>54</v>
      </c>
      <c r="D12" s="4" t="s">
        <v>27</v>
      </c>
      <c r="E12" s="5">
        <v>22000000</v>
      </c>
      <c r="F12" s="4" t="s">
        <v>13</v>
      </c>
      <c r="G12" s="6" t="s">
        <v>55</v>
      </c>
      <c r="H12" s="4" t="s">
        <v>19</v>
      </c>
      <c r="I12" s="4" t="str">
        <f t="shared" si="0"/>
        <v>Solde eleve</v>
      </c>
    </row>
    <row r="13" spans="1:9" ht="19.5" customHeight="1" x14ac:dyDescent="0.35">
      <c r="A13" s="4" t="s">
        <v>56</v>
      </c>
      <c r="B13" s="4" t="s">
        <v>57</v>
      </c>
      <c r="C13" s="4" t="s">
        <v>58</v>
      </c>
      <c r="D13" s="4" t="s">
        <v>18</v>
      </c>
      <c r="E13" s="5">
        <v>350000</v>
      </c>
      <c r="F13" s="4" t="s">
        <v>13</v>
      </c>
      <c r="G13" s="6" t="s">
        <v>59</v>
      </c>
      <c r="H13" s="4" t="s">
        <v>29</v>
      </c>
      <c r="I13" s="4" t="str">
        <f t="shared" si="0"/>
        <v>Solde fiable</v>
      </c>
    </row>
    <row r="14" spans="1:9" ht="19.5" customHeight="1" x14ac:dyDescent="0.35">
      <c r="A14" s="4" t="s">
        <v>60</v>
      </c>
      <c r="B14" s="4" t="s">
        <v>61</v>
      </c>
      <c r="C14" s="4" t="s">
        <v>62</v>
      </c>
      <c r="D14" s="4" t="s">
        <v>12</v>
      </c>
      <c r="E14" s="5">
        <v>95000</v>
      </c>
      <c r="F14" s="4" t="s">
        <v>33</v>
      </c>
      <c r="G14" s="6">
        <v>45174</v>
      </c>
      <c r="H14" s="4" t="s">
        <v>14</v>
      </c>
      <c r="I14" s="4" t="str">
        <f t="shared" si="0"/>
        <v>Solde fiable</v>
      </c>
    </row>
    <row r="15" spans="1:9" ht="19.5" customHeight="1" x14ac:dyDescent="0.35">
      <c r="A15" s="4" t="s">
        <v>63</v>
      </c>
      <c r="B15" s="4" t="s">
        <v>64</v>
      </c>
      <c r="C15" s="4" t="s">
        <v>65</v>
      </c>
      <c r="D15" s="4" t="s">
        <v>18</v>
      </c>
      <c r="E15" s="5">
        <v>4750000</v>
      </c>
      <c r="F15" s="4" t="s">
        <v>13</v>
      </c>
      <c r="G15" s="6" t="s">
        <v>66</v>
      </c>
      <c r="H15" s="4" t="s">
        <v>19</v>
      </c>
      <c r="I15" s="4" t="str">
        <f t="shared" si="0"/>
        <v>Solde moyen</v>
      </c>
    </row>
    <row r="16" spans="1:9" ht="19.5" customHeight="1" x14ac:dyDescent="0.35">
      <c r="A16" s="4" t="s">
        <v>67</v>
      </c>
      <c r="B16" s="4" t="s">
        <v>68</v>
      </c>
      <c r="C16" s="4" t="s">
        <v>69</v>
      </c>
      <c r="D16" s="4" t="s">
        <v>27</v>
      </c>
      <c r="E16" s="5">
        <v>9900000</v>
      </c>
      <c r="F16" s="4" t="s">
        <v>13</v>
      </c>
      <c r="G16" s="6">
        <v>43257</v>
      </c>
      <c r="H16" s="4" t="s">
        <v>29</v>
      </c>
      <c r="I16" s="4" t="str">
        <f t="shared" si="0"/>
        <v>Solde eleve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kisa</dc:creator>
  <cp:lastModifiedBy>johann kisa</cp:lastModifiedBy>
  <dcterms:created xsi:type="dcterms:W3CDTF">2026-05-05T00:20:05Z</dcterms:created>
  <dcterms:modified xsi:type="dcterms:W3CDTF">2026-05-05T00:24:23Z</dcterms:modified>
</cp:coreProperties>
</file>