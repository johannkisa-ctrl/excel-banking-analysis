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-banking-analysis\data\"/>
    </mc:Choice>
  </mc:AlternateContent>
  <xr:revisionPtr revIDLastSave="0" documentId="13_ncr:1_{44CA0697-FAE7-49CC-BAAB-980893DB1B98}" xr6:coauthVersionLast="47" xr6:coauthVersionMax="47" xr10:uidLastSave="{00000000-0000-0000-0000-000000000000}"/>
  <bookViews>
    <workbookView xWindow="-110" yWindow="-110" windowWidth="19420" windowHeight="11020" xr2:uid="{DCC1D1C3-827C-4000-8AC1-117BA132D230}"/>
  </bookViews>
  <sheets>
    <sheet name="transactions_oct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<sst xmlns="http://schemas.openxmlformats.org/spreadsheetml/2006/main" count="97" uniqueCount="55">
  <si>
    <t>N°</t>
  </si>
  <si>
    <t>ID_Trans</t>
  </si>
  <si>
    <t>Date</t>
  </si>
  <si>
    <t>ID_Client</t>
  </si>
  <si>
    <t>Montant (FCFA)</t>
  </si>
  <si>
    <t>Type</t>
  </si>
  <si>
    <t>Canal</t>
  </si>
  <si>
    <t>Flag</t>
  </si>
  <si>
    <t>Semaine</t>
  </si>
  <si>
    <t>Montant_Seuil</t>
  </si>
  <si>
    <t>Flag_Suspect</t>
  </si>
  <si>
    <t>Cumul_Client</t>
  </si>
  <si>
    <t>T2401</t>
  </si>
  <si>
    <t>C001</t>
  </si>
  <si>
    <t>Retrait</t>
  </si>
  <si>
    <t>Guichet</t>
  </si>
  <si>
    <t>T2402</t>
  </si>
  <si>
    <t>C006</t>
  </si>
  <si>
    <t>Virement</t>
  </si>
  <si>
    <t>Mobile</t>
  </si>
  <si>
    <t>T2403</t>
  </si>
  <si>
    <t>C003</t>
  </si>
  <si>
    <t>Depot</t>
  </si>
  <si>
    <t>T2404</t>
  </si>
  <si>
    <t>C011</t>
  </si>
  <si>
    <t>Web</t>
  </si>
  <si>
    <t>⚠️</t>
  </si>
  <si>
    <t>T2405</t>
  </si>
  <si>
    <t>C002</t>
  </si>
  <si>
    <t>DAB</t>
  </si>
  <si>
    <t>T2406</t>
  </si>
  <si>
    <t>C008</t>
  </si>
  <si>
    <t>T2407</t>
  </si>
  <si>
    <t>C004</t>
  </si>
  <si>
    <t>T2408</t>
  </si>
  <si>
    <t>C015</t>
  </si>
  <si>
    <t>T2409</t>
  </si>
  <si>
    <t>C017</t>
  </si>
  <si>
    <t>T2410</t>
  </si>
  <si>
    <t>C013</t>
  </si>
  <si>
    <t>T2411</t>
  </si>
  <si>
    <t>T2412</t>
  </si>
  <si>
    <t>C009</t>
  </si>
  <si>
    <t>T2413</t>
  </si>
  <si>
    <t>T2414</t>
  </si>
  <si>
    <t>T2415</t>
  </si>
  <si>
    <t>C005</t>
  </si>
  <si>
    <t>T2416</t>
  </si>
  <si>
    <t>C014</t>
  </si>
  <si>
    <t>T2417</t>
  </si>
  <si>
    <t>T2418</t>
  </si>
  <si>
    <t>C012</t>
  </si>
  <si>
    <t>T2419</t>
  </si>
  <si>
    <t>C007</t>
  </si>
  <si>
    <t>T2420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</si>
</sst>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dd/mm/yyyy;@"/>
  </numFmts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top"/>
    </xf>
    <xf numFmtId="165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6EA6-DDF3-4601-B8C1-2B4B28082CA7}">
  <dimension ref="A1:L21"/>
  <sheetViews>
    <sheetView tabSelected="1" workbookViewId="0">
      <selection activeCell="N13" sqref="N13"/>
    </sheetView>
  </sheetViews>
  <sheetFormatPr baseColWidth="10" defaultRowHeight="14.5" x14ac:dyDescent="0.35"/>
  <cols>
    <col min="1" max="1" width="3.08984375" bestFit="1" customWidth="1"/>
    <col min="2" max="2" width="8.7265625" bestFit="1" customWidth="1"/>
    <col min="3" max="3" width="10.08984375" bestFit="1" customWidth="1"/>
    <col min="4" max="4" width="9.26953125" bestFit="1" customWidth="1"/>
    <col min="5" max="5" width="14.81640625" bestFit="1" customWidth="1"/>
    <col min="6" max="6" width="8.1796875" bestFit="1" customWidth="1"/>
    <col min="7" max="7" width="7.1796875" bestFit="1" customWidth="1"/>
    <col min="8" max="8" width="4.6328125" bestFit="1" customWidth="1"/>
    <col min="9" max="9" width="8.7265625" bestFit="1" customWidth="1"/>
    <col min="10" max="10" width="14" bestFit="1" customWidth="1"/>
    <col min="11" max="11" width="13" bestFit="1" customWidth="1"/>
    <col min="12" max="12" width="13.36328125" bestFit="1" customWidth="1"/>
  </cols>
  <sheetData>
    <row r="1" spans="1:12" ht="17.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ht="17.5" customHeight="1" x14ac:dyDescent="0.35">
      <c r="A2" s="5">
        <v>1</v>
      </c>
      <c r="B2" s="5" t="s">
        <v>12</v>
      </c>
      <c r="C2" s="6">
        <v>45567</v>
      </c>
      <c r="D2" s="5" t="s">
        <v>13</v>
      </c>
      <c r="E2" s="7">
        <v>250000</v>
      </c>
      <c r="F2" s="5" t="s">
        <v>14</v>
      </c>
      <c r="G2" s="5" t="s">
        <v>15</v>
      </c>
      <c r="H2" s="5"/>
      <c r="I2" s="8">
        <f>_xlfn.ISOWEEKNUM(C2)</f>
        <v>40</v>
      </c>
      <c r="J2" s="8" t="str">
        <f>IF(E2&gt;5000000, "Haute valeur", "Normal")</f>
        <v>Normal</v>
      </c>
      <c r="K2" s="8" t="str">
        <f>IF(AND(E2&gt;5000000, H2="⚠️"), "URGENT", "OK")</f>
        <v>OK</v>
      </c>
      <c r="L2" s="9">
        <f>SUMIF($D$2:D21,D2,$E$2:E21)</f>
        <v>430000</v>
      </c>
    </row>
    <row r="3" spans="1:12" ht="17.5" customHeight="1" x14ac:dyDescent="0.35">
      <c r="A3" s="5">
        <v>2</v>
      </c>
      <c r="B3" s="5" t="s">
        <v>16</v>
      </c>
      <c r="C3" s="6">
        <v>45567</v>
      </c>
      <c r="D3" s="5" t="s">
        <v>17</v>
      </c>
      <c r="E3" s="7">
        <v>1800000</v>
      </c>
      <c r="F3" s="5" t="s">
        <v>18</v>
      </c>
      <c r="G3" s="5" t="s">
        <v>19</v>
      </c>
      <c r="H3" s="5"/>
      <c r="I3" s="8">
        <f t="shared" ref="I3:I21" si="0">_xlfn.ISOWEEKNUM(C3)</f>
        <v>40</v>
      </c>
      <c r="J3" s="8" t="str">
        <f t="shared" ref="J3:J21" si="1">IF(E3&gt;5000000, "Haute valeur", "Normal")</f>
        <v>Normal</v>
      </c>
      <c r="K3" s="8" t="str">
        <f t="shared" ref="K3:K21" si="2">IF(AND(E3&gt;5000000, H3="⚠️"), "URGENT", "OK")</f>
        <v>OK</v>
      </c>
      <c r="L3" s="9">
        <f>SUMIF($D$2:D22,D3,$E$2:E22)</f>
        <v>1800000</v>
      </c>
    </row>
    <row r="4" spans="1:12" ht="17.5" customHeight="1" x14ac:dyDescent="0.35">
      <c r="A4" s="5">
        <v>3</v>
      </c>
      <c r="B4" s="5" t="s">
        <v>20</v>
      </c>
      <c r="C4" s="6">
        <v>45568</v>
      </c>
      <c r="D4" s="5" t="s">
        <v>21</v>
      </c>
      <c r="E4" s="7">
        <v>75000</v>
      </c>
      <c r="F4" s="5" t="s">
        <v>22</v>
      </c>
      <c r="G4" s="5" t="s">
        <v>15</v>
      </c>
      <c r="H4" s="5"/>
      <c r="I4" s="8">
        <f t="shared" si="0"/>
        <v>40</v>
      </c>
      <c r="J4" s="8" t="str">
        <f t="shared" si="1"/>
        <v>Normal</v>
      </c>
      <c r="K4" s="8" t="str">
        <f t="shared" si="2"/>
        <v>OK</v>
      </c>
      <c r="L4" s="9">
        <f>SUMIF($D$2:D23,D4,$E$2:E23)</f>
        <v>110000</v>
      </c>
    </row>
    <row r="5" spans="1:12" ht="17.5" customHeight="1" x14ac:dyDescent="0.35">
      <c r="A5" s="5">
        <v>4</v>
      </c>
      <c r="B5" s="5" t="s">
        <v>23</v>
      </c>
      <c r="C5" s="6">
        <v>45570</v>
      </c>
      <c r="D5" s="5" t="s">
        <v>24</v>
      </c>
      <c r="E5" s="7">
        <v>9500000</v>
      </c>
      <c r="F5" s="5" t="s">
        <v>18</v>
      </c>
      <c r="G5" s="5" t="s">
        <v>25</v>
      </c>
      <c r="H5" s="10" t="s">
        <v>26</v>
      </c>
      <c r="I5" s="8">
        <f t="shared" si="0"/>
        <v>40</v>
      </c>
      <c r="J5" s="8" t="str">
        <f t="shared" si="1"/>
        <v>Haute valeur</v>
      </c>
      <c r="K5" s="8" t="str">
        <f t="shared" si="2"/>
        <v>URGENT</v>
      </c>
      <c r="L5" s="9">
        <f>SUMIF($D$2:D24,D5,$E$2:E24)</f>
        <v>29300000</v>
      </c>
    </row>
    <row r="6" spans="1:12" ht="17.5" customHeight="1" x14ac:dyDescent="0.35">
      <c r="A6" s="5">
        <v>5</v>
      </c>
      <c r="B6" s="5" t="s">
        <v>27</v>
      </c>
      <c r="C6" s="6">
        <v>45572</v>
      </c>
      <c r="D6" s="5" t="s">
        <v>28</v>
      </c>
      <c r="E6" s="7">
        <v>300000</v>
      </c>
      <c r="F6" s="5" t="s">
        <v>14</v>
      </c>
      <c r="G6" s="5" t="s">
        <v>29</v>
      </c>
      <c r="H6" s="5"/>
      <c r="I6" s="8">
        <f t="shared" si="0"/>
        <v>41</v>
      </c>
      <c r="J6" s="8" t="str">
        <f t="shared" si="1"/>
        <v>Normal</v>
      </c>
      <c r="K6" s="8" t="str">
        <f t="shared" si="2"/>
        <v>OK</v>
      </c>
      <c r="L6" s="9">
        <f>SUMIF($D$2:D25,D6,$E$2:E25)</f>
        <v>395000</v>
      </c>
    </row>
    <row r="7" spans="1:12" ht="17.5" customHeight="1" x14ac:dyDescent="0.35">
      <c r="A7" s="5">
        <v>6</v>
      </c>
      <c r="B7" s="5" t="s">
        <v>30</v>
      </c>
      <c r="C7" s="6">
        <v>45573</v>
      </c>
      <c r="D7" s="5" t="s">
        <v>31</v>
      </c>
      <c r="E7" s="7">
        <v>0</v>
      </c>
      <c r="F7" s="5" t="s">
        <v>22</v>
      </c>
      <c r="G7" s="5" t="s">
        <v>15</v>
      </c>
      <c r="H7" s="10" t="s">
        <v>26</v>
      </c>
      <c r="I7" s="8">
        <f t="shared" si="0"/>
        <v>41</v>
      </c>
      <c r="J7" s="8" t="str">
        <f t="shared" si="1"/>
        <v>Normal</v>
      </c>
      <c r="K7" s="8" t="str">
        <f t="shared" si="2"/>
        <v>OK</v>
      </c>
      <c r="L7" s="9">
        <f>SUMIF($D$2:D26,D7,$E$2:E26)</f>
        <v>0</v>
      </c>
    </row>
    <row r="8" spans="1:12" ht="17.5" customHeight="1" x14ac:dyDescent="0.35">
      <c r="A8" s="5">
        <v>7</v>
      </c>
      <c r="B8" s="5" t="s">
        <v>32</v>
      </c>
      <c r="C8" s="11">
        <v>45575</v>
      </c>
      <c r="D8" s="5" t="s">
        <v>33</v>
      </c>
      <c r="E8" s="7">
        <v>2100000</v>
      </c>
      <c r="F8" s="5" t="s">
        <v>18</v>
      </c>
      <c r="G8" s="5" t="s">
        <v>25</v>
      </c>
      <c r="H8" s="5"/>
      <c r="I8" s="8">
        <f t="shared" si="0"/>
        <v>41</v>
      </c>
      <c r="J8" s="8" t="str">
        <f t="shared" si="1"/>
        <v>Normal</v>
      </c>
      <c r="K8" s="8" t="str">
        <f t="shared" si="2"/>
        <v>OK</v>
      </c>
      <c r="L8" s="9">
        <f>SUMIF($D$2:D27,D8,$E$2:E27)</f>
        <v>2100000</v>
      </c>
    </row>
    <row r="9" spans="1:12" ht="17.5" customHeight="1" x14ac:dyDescent="0.35">
      <c r="A9" s="5">
        <v>8</v>
      </c>
      <c r="B9" s="5" t="s">
        <v>34</v>
      </c>
      <c r="C9" s="6">
        <v>45577</v>
      </c>
      <c r="D9" s="5" t="s">
        <v>35</v>
      </c>
      <c r="E9" s="7">
        <v>8200000</v>
      </c>
      <c r="F9" s="5" t="s">
        <v>18</v>
      </c>
      <c r="G9" s="5" t="s">
        <v>25</v>
      </c>
      <c r="H9" s="10" t="s">
        <v>26</v>
      </c>
      <c r="I9" s="8">
        <f t="shared" si="0"/>
        <v>41</v>
      </c>
      <c r="J9" s="8" t="str">
        <f t="shared" si="1"/>
        <v>Haute valeur</v>
      </c>
      <c r="K9" s="8" t="str">
        <f t="shared" si="2"/>
        <v>URGENT</v>
      </c>
      <c r="L9" s="9">
        <f>SUMIF($D$2:D28,D9,$E$2:E28)</f>
        <v>8200000</v>
      </c>
    </row>
    <row r="10" spans="1:12" ht="17.5" customHeight="1" x14ac:dyDescent="0.35">
      <c r="A10" s="5">
        <v>9</v>
      </c>
      <c r="B10" s="5" t="s">
        <v>36</v>
      </c>
      <c r="C10" s="6">
        <v>45579</v>
      </c>
      <c r="D10" s="5" t="s">
        <v>37</v>
      </c>
      <c r="E10" s="7">
        <v>450000</v>
      </c>
      <c r="F10" s="5" t="s">
        <v>14</v>
      </c>
      <c r="G10" s="5" t="s">
        <v>29</v>
      </c>
      <c r="H10" s="5"/>
      <c r="I10" s="8">
        <f t="shared" si="0"/>
        <v>42</v>
      </c>
      <c r="J10" s="8" t="str">
        <f t="shared" si="1"/>
        <v>Normal</v>
      </c>
      <c r="K10" s="8" t="str">
        <f t="shared" si="2"/>
        <v>OK</v>
      </c>
      <c r="L10" s="9">
        <f>SUMIF($D$2:D29,D10,$E$2:E29)</f>
        <v>450000</v>
      </c>
    </row>
    <row r="11" spans="1:12" ht="17.5" customHeight="1" x14ac:dyDescent="0.35">
      <c r="A11" s="5">
        <v>10</v>
      </c>
      <c r="B11" s="5" t="s">
        <v>38</v>
      </c>
      <c r="C11" s="6">
        <v>45580</v>
      </c>
      <c r="D11" s="5" t="s">
        <v>39</v>
      </c>
      <c r="E11" s="7">
        <v>10000</v>
      </c>
      <c r="F11" s="5" t="s">
        <v>22</v>
      </c>
      <c r="G11" s="5" t="s">
        <v>19</v>
      </c>
      <c r="H11" s="5"/>
      <c r="I11" s="8">
        <f t="shared" si="0"/>
        <v>42</v>
      </c>
      <c r="J11" s="8" t="str">
        <f t="shared" si="1"/>
        <v>Normal</v>
      </c>
      <c r="K11" s="8" t="str">
        <f t="shared" si="2"/>
        <v>OK</v>
      </c>
      <c r="L11" s="9">
        <f>SUMIF($D$2:D30,D11,$E$2:E30)</f>
        <v>10000</v>
      </c>
    </row>
    <row r="12" spans="1:12" ht="17.5" customHeight="1" x14ac:dyDescent="0.35">
      <c r="A12" s="5">
        <v>11</v>
      </c>
      <c r="B12" s="5" t="s">
        <v>40</v>
      </c>
      <c r="C12" s="6">
        <v>45581</v>
      </c>
      <c r="D12" s="5" t="s">
        <v>13</v>
      </c>
      <c r="E12" s="7">
        <v>180000</v>
      </c>
      <c r="F12" s="5" t="s">
        <v>14</v>
      </c>
      <c r="G12" s="5" t="s">
        <v>29</v>
      </c>
      <c r="H12" s="5"/>
      <c r="I12" s="8">
        <f t="shared" si="0"/>
        <v>42</v>
      </c>
      <c r="J12" s="8" t="str">
        <f t="shared" si="1"/>
        <v>Normal</v>
      </c>
      <c r="K12" s="8" t="str">
        <f t="shared" si="2"/>
        <v>OK</v>
      </c>
      <c r="L12" s="9">
        <f>SUMIF($D$2:D31,D12,$E$2:E31)</f>
        <v>430000</v>
      </c>
    </row>
    <row r="13" spans="1:12" ht="17.5" customHeight="1" x14ac:dyDescent="0.35">
      <c r="A13" s="5">
        <v>12</v>
      </c>
      <c r="B13" s="5" t="s">
        <v>41</v>
      </c>
      <c r="C13" s="6">
        <v>45583</v>
      </c>
      <c r="D13" s="5" t="s">
        <v>42</v>
      </c>
      <c r="E13" s="7">
        <v>620000</v>
      </c>
      <c r="F13" s="5" t="s">
        <v>18</v>
      </c>
      <c r="G13" s="5" t="s">
        <v>25</v>
      </c>
      <c r="H13" s="5"/>
      <c r="I13" s="8">
        <f t="shared" si="0"/>
        <v>42</v>
      </c>
      <c r="J13" s="8" t="str">
        <f t="shared" si="1"/>
        <v>Normal</v>
      </c>
      <c r="K13" s="8" t="str">
        <f t="shared" si="2"/>
        <v>OK</v>
      </c>
      <c r="L13" s="9">
        <f>SUMIF($D$2:D32,D13,$E$2:E32)</f>
        <v>620000</v>
      </c>
    </row>
    <row r="14" spans="1:12" ht="17.5" customHeight="1" x14ac:dyDescent="0.35">
      <c r="A14" s="5">
        <v>13</v>
      </c>
      <c r="B14" s="5" t="s">
        <v>43</v>
      </c>
      <c r="C14" s="6">
        <v>45584</v>
      </c>
      <c r="D14" s="5" t="s">
        <v>28</v>
      </c>
      <c r="E14" s="7">
        <v>95000</v>
      </c>
      <c r="F14" s="5" t="s">
        <v>22</v>
      </c>
      <c r="G14" s="5" t="s">
        <v>15</v>
      </c>
      <c r="H14" s="5"/>
      <c r="I14" s="8">
        <f t="shared" si="0"/>
        <v>42</v>
      </c>
      <c r="J14" s="8" t="str">
        <f t="shared" si="1"/>
        <v>Normal</v>
      </c>
      <c r="K14" s="8" t="str">
        <f t="shared" si="2"/>
        <v>OK</v>
      </c>
      <c r="L14" s="9">
        <f>SUMIF($D$2:D33,D14,$E$2:E33)</f>
        <v>395000</v>
      </c>
    </row>
    <row r="15" spans="1:12" ht="17.5" customHeight="1" x14ac:dyDescent="0.35">
      <c r="A15" s="5">
        <v>14</v>
      </c>
      <c r="B15" s="5" t="s">
        <v>44</v>
      </c>
      <c r="C15" s="6">
        <v>45585</v>
      </c>
      <c r="D15" s="5" t="s">
        <v>24</v>
      </c>
      <c r="E15" s="7">
        <v>12000000</v>
      </c>
      <c r="F15" s="5" t="s">
        <v>18</v>
      </c>
      <c r="G15" s="5" t="s">
        <v>25</v>
      </c>
      <c r="H15" s="10" t="s">
        <v>26</v>
      </c>
      <c r="I15" s="8">
        <f t="shared" si="0"/>
        <v>42</v>
      </c>
      <c r="J15" s="8" t="str">
        <f t="shared" si="1"/>
        <v>Haute valeur</v>
      </c>
      <c r="K15" s="8" t="str">
        <f t="shared" si="2"/>
        <v>URGENT</v>
      </c>
      <c r="L15" s="9">
        <f>SUMIF($D$2:D34,D15,$E$2:E34)</f>
        <v>29300000</v>
      </c>
    </row>
    <row r="16" spans="1:12" ht="17.5" customHeight="1" x14ac:dyDescent="0.35">
      <c r="A16" s="5">
        <v>15</v>
      </c>
      <c r="B16" s="5" t="s">
        <v>45</v>
      </c>
      <c r="C16" s="6">
        <v>45587</v>
      </c>
      <c r="D16" s="5" t="s">
        <v>46</v>
      </c>
      <c r="E16" s="7">
        <v>50000</v>
      </c>
      <c r="F16" s="5" t="s">
        <v>14</v>
      </c>
      <c r="G16" s="5" t="s">
        <v>29</v>
      </c>
      <c r="H16" s="5"/>
      <c r="I16" s="8">
        <f t="shared" si="0"/>
        <v>43</v>
      </c>
      <c r="J16" s="8" t="str">
        <f t="shared" si="1"/>
        <v>Normal</v>
      </c>
      <c r="K16" s="8" t="str">
        <f t="shared" si="2"/>
        <v>OK</v>
      </c>
      <c r="L16" s="9">
        <f>SUMIF($D$2:D35,D16,$E$2:E35)</f>
        <v>50000</v>
      </c>
    </row>
    <row r="17" spans="1:12" ht="17.5" customHeight="1" x14ac:dyDescent="0.35">
      <c r="A17" s="5">
        <v>16</v>
      </c>
      <c r="B17" s="5" t="s">
        <v>47</v>
      </c>
      <c r="C17" s="6">
        <v>45589</v>
      </c>
      <c r="D17" s="5" t="s">
        <v>48</v>
      </c>
      <c r="E17" s="7">
        <v>900000</v>
      </c>
      <c r="F17" s="5" t="s">
        <v>18</v>
      </c>
      <c r="G17" s="5" t="s">
        <v>19</v>
      </c>
      <c r="H17" s="5"/>
      <c r="I17" s="8">
        <f t="shared" si="0"/>
        <v>43</v>
      </c>
      <c r="J17" s="8" t="str">
        <f t="shared" si="1"/>
        <v>Normal</v>
      </c>
      <c r="K17" s="8" t="str">
        <f t="shared" si="2"/>
        <v>OK</v>
      </c>
      <c r="L17" s="9">
        <f>SUMIF($D$2:D36,D17,$E$2:E36)</f>
        <v>900000</v>
      </c>
    </row>
    <row r="18" spans="1:12" ht="17.5" customHeight="1" x14ac:dyDescent="0.35">
      <c r="A18" s="5">
        <v>17</v>
      </c>
      <c r="B18" s="5" t="s">
        <v>49</v>
      </c>
      <c r="C18" s="6">
        <v>45590</v>
      </c>
      <c r="D18" s="5" t="s">
        <v>21</v>
      </c>
      <c r="E18" s="7">
        <v>35000</v>
      </c>
      <c r="F18" s="5" t="s">
        <v>14</v>
      </c>
      <c r="G18" s="5" t="s">
        <v>15</v>
      </c>
      <c r="H18" s="5"/>
      <c r="I18" s="8">
        <f t="shared" si="0"/>
        <v>43</v>
      </c>
      <c r="J18" s="8" t="str">
        <f t="shared" si="1"/>
        <v>Normal</v>
      </c>
      <c r="K18" s="8" t="str">
        <f t="shared" si="2"/>
        <v>OK</v>
      </c>
      <c r="L18" s="9">
        <f>SUMIF($D$2:D37,D18,$E$2:E37)</f>
        <v>110000</v>
      </c>
    </row>
    <row r="19" spans="1:12" ht="17.5" customHeight="1" x14ac:dyDescent="0.35">
      <c r="A19" s="5">
        <v>18</v>
      </c>
      <c r="B19" s="5" t="s">
        <v>50</v>
      </c>
      <c r="C19" s="6">
        <v>45591</v>
      </c>
      <c r="D19" s="5" t="s">
        <v>51</v>
      </c>
      <c r="E19" s="7">
        <v>200000</v>
      </c>
      <c r="F19" s="5" t="s">
        <v>22</v>
      </c>
      <c r="G19" s="5" t="s">
        <v>15</v>
      </c>
      <c r="H19" s="5"/>
      <c r="I19" s="8">
        <f t="shared" si="0"/>
        <v>43</v>
      </c>
      <c r="J19" s="8" t="str">
        <f t="shared" si="1"/>
        <v>Normal</v>
      </c>
      <c r="K19" s="8" t="str">
        <f t="shared" si="2"/>
        <v>OK</v>
      </c>
      <c r="L19" s="9">
        <f>SUMIF($D$2:D38,D19,$E$2:E38)</f>
        <v>200000</v>
      </c>
    </row>
    <row r="20" spans="1:12" ht="17.5" customHeight="1" x14ac:dyDescent="0.35">
      <c r="A20" s="5">
        <v>19</v>
      </c>
      <c r="B20" s="5" t="s">
        <v>52</v>
      </c>
      <c r="C20" s="6">
        <v>45593</v>
      </c>
      <c r="D20" s="5" t="s">
        <v>53</v>
      </c>
      <c r="E20" s="7">
        <v>3400000</v>
      </c>
      <c r="F20" s="5" t="s">
        <v>18</v>
      </c>
      <c r="G20" s="5" t="s">
        <v>25</v>
      </c>
      <c r="H20" s="5"/>
      <c r="I20" s="8">
        <f t="shared" si="0"/>
        <v>44</v>
      </c>
      <c r="J20" s="8" t="str">
        <f t="shared" si="1"/>
        <v>Normal</v>
      </c>
      <c r="K20" s="8" t="str">
        <f t="shared" si="2"/>
        <v>OK</v>
      </c>
      <c r="L20" s="9">
        <f>SUMIF($D$2:D39,D20,$E$2:E39)</f>
        <v>3400000</v>
      </c>
    </row>
    <row r="21" spans="1:12" ht="17.5" customHeight="1" x14ac:dyDescent="0.35">
      <c r="A21" s="5">
        <v>20</v>
      </c>
      <c r="B21" s="5" t="s">
        <v>54</v>
      </c>
      <c r="C21" s="6">
        <v>45595</v>
      </c>
      <c r="D21" s="5" t="s">
        <v>24</v>
      </c>
      <c r="E21" s="7">
        <v>7800000</v>
      </c>
      <c r="F21" s="5" t="s">
        <v>14</v>
      </c>
      <c r="G21" s="5" t="s">
        <v>15</v>
      </c>
      <c r="H21" s="10" t="s">
        <v>26</v>
      </c>
      <c r="I21" s="8">
        <f t="shared" si="0"/>
        <v>44</v>
      </c>
      <c r="J21" s="8" t="str">
        <f t="shared" si="1"/>
        <v>Haute valeur</v>
      </c>
      <c r="K21" s="8" t="str">
        <f t="shared" si="2"/>
        <v>URGENT</v>
      </c>
      <c r="L21" s="9">
        <f>SUMIF($D$2:D40,D21,$E$2:E40)</f>
        <v>29300000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transactions_oct2024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kisa</dc:creator>
  <cp:lastModifiedBy>johann kisa</cp:lastModifiedBy>
  <dcterms:created xsi:type="dcterms:W3CDTF">2026-05-05T00:26:40Z</dcterms:created>
  <dcterms:modified xsi:type="dcterms:W3CDTF">2026-05-05T00:29:48Z</dcterms:modified>
</cp:coreProperties>
</file>