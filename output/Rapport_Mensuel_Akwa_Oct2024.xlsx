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42F450-A171-4BBD-9D00-AA564C5DAA43}" xr6:coauthVersionLast="47" xr6:coauthVersionMax="47" xr10:uidLastSave="{00000000-0000-0000-0000-000000000000}"/>
  <bookViews>
    <workbookView xWindow="-110" yWindow="-110" windowWidth="19420" windowHeight="11020" activeTab="2" xr2:uid="{56F836F4-8DFC-414F-8656-635C58968203}"/>
  </bookViews>
  <sheets>
    <sheet name="Base_clients" sheetId="1" r:id="rId1"/>
    <sheet name="Transactions" sheetId="2" r:id="rId2"/>
    <sheet name="Journal_nettoyage" sheetId="6" r:id="rId3"/>
    <sheet name="Calculs_KPIs" sheetId="3" r:id="rId4"/>
    <sheet name="Dashboard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D21" i="4"/>
  <c r="E25" i="4"/>
  <c r="E24" i="4"/>
  <c r="D25" i="4"/>
  <c r="F25" i="4" s="1" a="1"/>
  <c r="F25" i="4" s="1"/>
  <c r="D24" i="4"/>
  <c r="F24" i="4" s="1" a="1"/>
  <c r="F24" i="4" s="1"/>
  <c r="E23" i="4"/>
  <c r="D23" i="4"/>
  <c r="F23" i="4" s="1"/>
  <c r="D26" i="4"/>
  <c r="D19" i="4"/>
  <c r="D17" i="4"/>
  <c r="D13" i="4"/>
  <c r="D11" i="4"/>
  <c r="B3" i="3"/>
  <c r="B10" i="3"/>
  <c r="B6" i="3"/>
  <c r="B9" i="3"/>
  <c r="B8" i="3"/>
  <c r="B5" i="3"/>
  <c r="B2" i="3"/>
  <c r="B7" i="3"/>
  <c r="B4" i="3"/>
  <c r="L21" i="2" l="1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  <c r="L4" i="2"/>
  <c r="K4" i="2"/>
  <c r="J4" i="2"/>
  <c r="I4" i="2"/>
  <c r="L3" i="2"/>
  <c r="K3" i="2"/>
  <c r="J3" i="2"/>
  <c r="I3" i="2"/>
  <c r="L2" i="2"/>
  <c r="K2" i="2"/>
  <c r="J2" i="2"/>
  <c r="I2" i="2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<sst xmlns="http://schemas.openxmlformats.org/spreadsheetml/2006/main" count="280" uniqueCount="174">
  <si>
    <t>ID_Client</t>
  </si>
  <si>
    <t>Nom</t>
  </si>
  <si>
    <t>Prénom</t>
  </si>
  <si>
    <t>Type_Compte</t>
  </si>
  <si>
    <t>Solde_FCFA</t>
  </si>
  <si>
    <t>Statut</t>
  </si>
  <si>
    <t>Date_Ouverture</t>
  </si>
  <si>
    <t>Agence</t>
  </si>
  <si>
    <t>Categorie_Solde</t>
  </si>
  <si>
    <t>C001</t>
  </si>
  <si>
    <t>MBARGA</t>
  </si>
  <si>
    <t>Paul</t>
  </si>
  <si>
    <t>Courant</t>
  </si>
  <si>
    <t>Actif</t>
  </si>
  <si>
    <t>Akwa</t>
  </si>
  <si>
    <t>C002</t>
  </si>
  <si>
    <t>FOTSO</t>
  </si>
  <si>
    <t>Marie</t>
  </si>
  <si>
    <t>Epargne</t>
  </si>
  <si>
    <t>Bonanjo</t>
  </si>
  <si>
    <t>C003</t>
  </si>
  <si>
    <t>NJIKE</t>
  </si>
  <si>
    <t>Jean</t>
  </si>
  <si>
    <t>22/11/2021</t>
  </si>
  <si>
    <t>C004</t>
  </si>
  <si>
    <t>BELLO</t>
  </si>
  <si>
    <t>Aissatou</t>
  </si>
  <si>
    <t>Professionnel</t>
  </si>
  <si>
    <t>15/01/2018</t>
  </si>
  <si>
    <t>Bassa</t>
  </si>
  <si>
    <t>C005</t>
  </si>
  <si>
    <t>SIMO</t>
  </si>
  <si>
    <t>Cédric</t>
  </si>
  <si>
    <t>Inactif</t>
  </si>
  <si>
    <t>30/06/2022</t>
  </si>
  <si>
    <t>C006</t>
  </si>
  <si>
    <t>NKOA</t>
  </si>
  <si>
    <t>Flore</t>
  </si>
  <si>
    <t>C007</t>
  </si>
  <si>
    <t>ABANDA</t>
  </si>
  <si>
    <t>Roger</t>
  </si>
  <si>
    <t>14/02/2016</t>
  </si>
  <si>
    <t>C008</t>
  </si>
  <si>
    <t>MANGA</t>
  </si>
  <si>
    <t>Sophie</t>
  </si>
  <si>
    <t>20/04/2023</t>
  </si>
  <si>
    <t>C009</t>
  </si>
  <si>
    <t>TCHOUPO</t>
  </si>
  <si>
    <t>Alain</t>
  </si>
  <si>
    <t>C010</t>
  </si>
  <si>
    <t>DJOUMBE</t>
  </si>
  <si>
    <t>Estelle</t>
  </si>
  <si>
    <t>C011</t>
  </si>
  <si>
    <t>KAMGA</t>
  </si>
  <si>
    <t>Thiery</t>
  </si>
  <si>
    <t>28/08/2015</t>
  </si>
  <si>
    <t>C012</t>
  </si>
  <si>
    <t>ETOA</t>
  </si>
  <si>
    <t>Brigitte</t>
  </si>
  <si>
    <t>17/10/2022</t>
  </si>
  <si>
    <t>C013</t>
  </si>
  <si>
    <t>OUMAROU</t>
  </si>
  <si>
    <t>Ibrahim</t>
  </si>
  <si>
    <t>C014</t>
  </si>
  <si>
    <t>NGUEMA</t>
  </si>
  <si>
    <t>Laure</t>
  </si>
  <si>
    <t>25/01/2020</t>
  </si>
  <si>
    <t>C015</t>
  </si>
  <si>
    <t>FOKAM</t>
  </si>
  <si>
    <t>Olivier</t>
  </si>
  <si>
    <t>N°</t>
  </si>
  <si>
    <t>ID_Trans</t>
  </si>
  <si>
    <t>Date</t>
  </si>
  <si>
    <t>Montant (FCFA)</t>
  </si>
  <si>
    <t>Type</t>
  </si>
  <si>
    <t>Canal</t>
  </si>
  <si>
    <t>Flag</t>
  </si>
  <si>
    <t>Semaine</t>
  </si>
  <si>
    <t>Montant_Seuil</t>
  </si>
  <si>
    <t>Flag_Suspect</t>
  </si>
  <si>
    <t>Cumul_Client</t>
  </si>
  <si>
    <t>T2401</t>
  </si>
  <si>
    <t>Retrait</t>
  </si>
  <si>
    <t>Guichet</t>
  </si>
  <si>
    <t>T2402</t>
  </si>
  <si>
    <t>Virement</t>
  </si>
  <si>
    <t>Mobile</t>
  </si>
  <si>
    <t>T2403</t>
  </si>
  <si>
    <t>Depot</t>
  </si>
  <si>
    <t>T2404</t>
  </si>
  <si>
    <t>Web</t>
  </si>
  <si>
    <t>⚠️</t>
  </si>
  <si>
    <t>T2405</t>
  </si>
  <si>
    <t>DAB</t>
  </si>
  <si>
    <t>T2406</t>
  </si>
  <si>
    <t>T2407</t>
  </si>
  <si>
    <t>T2408</t>
  </si>
  <si>
    <t>T2409</t>
  </si>
  <si>
    <t>C017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</si>
  <si>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</si>
  <si>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</si>
  <si>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</si>
  <si>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</si>
  <si>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</si>
  <si>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</si>
  <si>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</si>
  <si>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</si>
  <si>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</si>
  <si>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</si>
  <si>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</si>
  <si>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Questions posees</t>
  </si>
  <si>
    <t>Formule</t>
  </si>
  <si>
    <t>Encours total de l'agence</t>
  </si>
  <si>
    <t>Nb clients actifs</t>
  </si>
  <si>
    <t>Solde moyen par actif</t>
  </si>
  <si>
    <t>Volume transaction du mois</t>
  </si>
  <si>
    <t>Nb transactions hautes</t>
  </si>
  <si>
    <t>Nom top 3 client</t>
  </si>
  <si>
    <t>Prenom top 3 client</t>
  </si>
  <si>
    <t>Solde top 3 client</t>
  </si>
  <si>
    <t>Transaction max du mois</t>
  </si>
  <si>
    <t>Nombre de clients actifs</t>
  </si>
  <si>
    <t>Volume transactions du mois</t>
  </si>
  <si>
    <t>Nombre de transactions hautes valeurs</t>
  </si>
  <si>
    <t>Taux de compte inactif</t>
  </si>
  <si>
    <t>Top 3 des clients par soldes</t>
  </si>
  <si>
    <t>RAPPORT MENSUEL - AGENCE ECOBANK AKWA - OCTOBRE 2024</t>
  </si>
  <si>
    <t>JOURNAL D'AUDIT — NETTOYAGE DES DONNÉES — BASE CLIENTS INITIALE</t>
  </si>
  <si>
    <t>Ce journal documente toutes les anomalies détectées et corrigées lors de l'audit qualité des données clients.</t>
  </si>
  <si>
    <t>RÉSUMÉ DES ANOMALIES DÉTECTÉES</t>
  </si>
  <si>
    <t>#</t>
  </si>
  <si>
    <t>Type d'anomalie</t>
  </si>
  <si>
    <t>Nb de cas</t>
  </si>
  <si>
    <t>Formule / Méthode utilisée</t>
  </si>
  <si>
    <t>Date correction</t>
  </si>
  <si>
    <t>Espaces parasites dans les noms (ex: '  mbarga paul ')</t>
  </si>
  <si>
    <t/>
  </si>
  <si>
    <t>✅ Corrigé</t>
  </si>
  <si>
    <t>Majuscules/minuscules incohérentes (ex: 'FOTSO marie')</t>
  </si>
  <si>
    <t>Formats de date incohérents (MM-DD-YYYY vs DD/MM/YYYY)</t>
  </si>
  <si>
    <t>Rechercher/Remplacer : '-' → '/' + reformat en JJ/MM/AAAA</t>
  </si>
  <si>
    <t>Valeurs manquantes dans la colonne Solde</t>
  </si>
  <si>
    <t>Numéros de téléphone avec espaces (ex: '699 11 22 33')</t>
  </si>
  <si>
    <t>Doublons exacts (lignes identiques)</t>
  </si>
  <si>
    <t>Données → Supprimer les doublons → 1 ligne supprimée</t>
  </si>
  <si>
    <t>MÉTRIQUES QUALITÉ DONNÉES — AVANT / APRÈS NETTOYAGE</t>
  </si>
  <si>
    <t>Indicateur</t>
  </si>
  <si>
    <t>Avant nettoyage</t>
  </si>
  <si>
    <t>Après nettoyage</t>
  </si>
  <si>
    <t>Amélioration</t>
  </si>
  <si>
    <t>Commentaire</t>
  </si>
  <si>
    <t>Nb total de lignes</t>
  </si>
  <si>
    <t>-1 (doublon supprimé)</t>
  </si>
  <si>
    <t>NB(A:A)-1</t>
  </si>
  <si>
    <t>1 doublon exact éliminé</t>
  </si>
  <si>
    <t>% champs texte nettoyés</t>
  </si>
  <si>
    <t>73%</t>
  </si>
  <si>
    <t>100%</t>
  </si>
  <si>
    <t>+27%</t>
  </si>
  <si>
    <t>NBVAL(propres)/NBVAL(total)</t>
  </si>
  <si>
    <t>SUPPRESPACE + NOMPROPRE</t>
  </si>
  <si>
    <t>Nb valeurs manquantes</t>
  </si>
  <si>
    <t>-2</t>
  </si>
  <si>
    <t>NB.SI(E:E;"")</t>
  </si>
  <si>
    <t>Remplacées par 0 + flag</t>
  </si>
  <si>
    <t>Nb doublons</t>
  </si>
  <si>
    <t>-1</t>
  </si>
  <si>
    <t>Outil natif Excel</t>
  </si>
  <si>
    <t>Suppression définitive</t>
  </si>
  <si>
    <t>% données conformes</t>
  </si>
  <si>
    <t>68%</t>
  </si>
  <si>
    <t>+32%</t>
  </si>
  <si>
    <t>Audit manuel complet</t>
  </si>
  <si>
    <t>Toutes colonnes vérifiées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</si>
</sst>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dd/mm/yyyy;@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A1A1A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6" tint="0.39997558519241921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rgb="FFF66400"/>
      <name val="Aptos Narrow"/>
      <family val="2"/>
      <scheme val="minor"/>
    </font>
    <font>
      <b/>
      <sz val="12"/>
      <color rgb="FFE6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111827"/>
      <name val="Arial"/>
    </font>
    <font>
      <i/>
      <sz val="10"/>
      <color rgb="FF0C1F3D"/>
      <name val="Arial"/>
    </font>
    <font>
      <b/>
      <sz val="11"/>
      <color rgb="FFFFFFFF"/>
      <name val="Arial"/>
    </font>
    <font>
      <b/>
      <sz val="10"/>
      <color rgb="FF111827"/>
      <name val="Arial"/>
    </font>
    <font>
      <b/>
      <sz val="10"/>
      <color rgb="FF145A32"/>
      <name val="Arial"/>
    </font>
    <font>
      <sz val="8"/>
      <color rgb="FF111827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A7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0C1F3D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BF5E6"/>
      </patternFill>
    </fill>
    <fill>
      <patternFill patternType="solid">
        <fgColor rgb="FF1A4A7A"/>
      </patternFill>
    </fill>
    <fill>
      <patternFill patternType="solid">
        <fgColor rgb="FFD1FAE5"/>
      </patternFill>
    </fill>
  </fills>
  <borders count="20">
    <border>
      <left/>
      <right/>
      <top/>
      <bottom/>
      <diagonal/>
    </border>
    <border>
      <left style="dashed">
        <color theme="2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thin">
        <color auto="1"/>
      </right>
      <top style="dashed">
        <color theme="2"/>
      </top>
      <bottom style="dashed">
        <color theme="2"/>
      </bottom>
      <diagonal/>
    </border>
    <border>
      <left style="thin">
        <color auto="1"/>
      </left>
      <right style="dashed">
        <color theme="2"/>
      </right>
      <top style="dashed">
        <color theme="2"/>
      </top>
      <bottom style="thin">
        <color auto="1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thin">
        <color auto="1"/>
      </bottom>
      <diagonal/>
    </border>
    <border>
      <left style="dashed">
        <color theme="2"/>
      </left>
      <right style="thin">
        <color auto="1"/>
      </right>
      <top style="dashed">
        <color theme="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tted">
        <color theme="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rgb="FF0C1F3D"/>
      </left>
      <right style="thin">
        <color rgb="FF0C1F3D"/>
      </right>
      <top style="thin">
        <color rgb="FF0C1F3D"/>
      </top>
      <bottom style="thin">
        <color rgb="FF0C1F3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4" fillId="3" borderId="11" xfId="0" applyFont="1" applyFill="1" applyBorder="1"/>
    <xf numFmtId="0" fontId="4" fillId="3" borderId="10" xfId="0" applyFont="1" applyFill="1" applyBorder="1"/>
    <xf numFmtId="0" fontId="6" fillId="5" borderId="0" xfId="0" applyFont="1" applyFill="1"/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2" borderId="1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9" fillId="7" borderId="0" xfId="0" applyNumberFormat="1" applyFont="1" applyFill="1" applyAlignment="1">
      <alignment horizontal="center" vertical="center"/>
    </xf>
    <xf numFmtId="164" fontId="10" fillId="5" borderId="12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0" fillId="0" borderId="0" xfId="0"/>
    <xf numFmtId="0" fontId="12" fillId="8" borderId="18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left" vertical="center"/>
    </xf>
    <xf numFmtId="0" fontId="17" fillId="13" borderId="19" xfId="0" applyFont="1" applyFill="1" applyBorder="1" applyAlignment="1">
      <alignment horizontal="center" vertical="center"/>
    </xf>
    <xf numFmtId="0" fontId="16" fillId="10" borderId="19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left" vertical="center"/>
    </xf>
    <xf numFmtId="0" fontId="16" fillId="9" borderId="19" xfId="0" applyFont="1" applyFill="1" applyBorder="1" applyAlignment="1">
      <alignment horizontal="left" vertical="center"/>
    </xf>
    <xf numFmtId="0" fontId="16" fillId="10" borderId="19" xfId="0" applyFont="1" applyFill="1" applyBorder="1" applyAlignment="1">
      <alignment horizontal="left" vertical="center"/>
    </xf>
    <xf numFmtId="0" fontId="0" fillId="0" borderId="0" xfId="0"/>
    <xf numFmtId="0" fontId="14" fillId="11" borderId="0" xfId="0" applyFont="1" applyFill="1" applyAlignment="1">
      <alignment horizontal="center" vertical="center"/>
    </xf>
    <xf numFmtId="0" fontId="18" fillId="9" borderId="19" xfId="0" applyFont="1" applyFill="1" applyBorder="1" applyAlignment="1">
      <alignment horizontal="left" vertical="center" wrapText="1"/>
    </xf>
    <xf numFmtId="0" fontId="18" fillId="10" borderId="19" xfId="0" applyFont="1" applyFill="1" applyBorder="1" applyAlignment="1">
      <alignment horizontal="left" vertical="center" wrapText="1"/>
    </xf>
    <xf numFmtId="14" fontId="13" fillId="9" borderId="19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4" borderId="0" xfId="0" applyFill="1"/>
    <xf numFmtId="0" fontId="1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0000"/>
      <color rgb="FFFF9797"/>
      <color rgb="FFF66400"/>
      <color rgb="FFFF6600"/>
      <color rgb="FFFFAA71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5 des clients par solde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numFmt formatCode="[&gt;=1000000]0.##,,&quot;M&quot;;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97D-4E86-8FBF-0604952D9A8D}"/>
                </c:ext>
              </c:extLst>
            </c:dLbl>
            <c:dLbl>
              <c:idx val="1"/>
              <c:numFmt formatCode="[&gt;=1000000]0.##,,&quot;M&quot;;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97D-4E86-8FBF-0604952D9A8D}"/>
                </c:ext>
              </c:extLst>
            </c:dLbl>
            <c:dLbl>
              <c:idx val="2"/>
              <c:numFmt formatCode="[&gt;=1000000]0.##,,&quot;M&quot;;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97D-4E86-8FBF-0604952D9A8D}"/>
                </c:ext>
              </c:extLst>
            </c:dLbl>
            <c:dLbl>
              <c:idx val="3"/>
              <c:numFmt formatCode="[&gt;=1000000]0.##,,&quot;M&quot;;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97D-4E86-8FBF-0604952D9A8D}"/>
                </c:ext>
              </c:extLst>
            </c:dLbl>
            <c:dLbl>
              <c:idx val="4"/>
              <c:numFmt formatCode="[&gt;=1000000]0.##,,&quot;M&quot;;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97D-4E86-8FBF-0604952D9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[1]Donnees_Brutes!$O$2:$O$6</c:f>
              <c:strCache>
                <c:ptCount val="5"/>
                <c:pt idx="0">
                  <c:v>KAMGA</c:v>
                </c:pt>
                <c:pt idx="1">
                  <c:v>ABANDA</c:v>
                </c:pt>
                <c:pt idx="2">
                  <c:v>FOKAM</c:v>
                </c:pt>
                <c:pt idx="3">
                  <c:v>BELLO</c:v>
                </c:pt>
                <c:pt idx="4">
                  <c:v>TCHOUPO</c:v>
                </c:pt>
              </c:strCache>
            </c:strRef>
          </c:cat>
          <c:val>
            <c:numRef>
              <c:f>[1]Donnees_Brutes!$P$2:$P$6</c:f>
              <c:numCache>
                <c:formatCode>General</c:formatCode>
                <c:ptCount val="5"/>
                <c:pt idx="0">
                  <c:v>22000000</c:v>
                </c:pt>
                <c:pt idx="1">
                  <c:v>15600000</c:v>
                </c:pt>
                <c:pt idx="2">
                  <c:v>9900000</c:v>
                </c:pt>
                <c:pt idx="3">
                  <c:v>8200000</c:v>
                </c:pt>
                <c:pt idx="4">
                  <c:v>5400000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3-47CB-BC0B-B3EBD2F04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16344303"/>
        <c:axId val="516343343"/>
      </c:barChart>
      <c:catAx>
        <c:axId val="51634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343343"/>
        <c:crosses val="autoZero"/>
        <c:auto val="1"/>
        <c:lblAlgn val="ctr"/>
        <c:lblOffset val="100"/>
        <c:noMultiLvlLbl val="0"/>
      </c:catAx>
      <c:valAx>
        <c:axId val="5163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&gt;=1000000]0.##,,&quot;M&quot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34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14112</xdr:colOff>
      <xdr:row>10</xdr:row>
      <xdr:rowOff>7056</xdr:rowOff>
    </xdr:from>
    <xdr:to>
      <xdr:col>14</xdr:col>
      <xdr:colOff>740834</xdr:colOff>
      <xdr:row>27</xdr:row>
      <xdr:rowOff>7057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83FAA2-970B-499E-AB75-4A746850B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bsolute\Excel\Excel_Niveau1_Banque\Semaine%202\Exercice2_2_Dash_Bord.xlsx" TargetMode="External"/><Relationship Id="rId1" Type="http://schemas.openxmlformats.org/officeDocument/2006/relationships/externalLinkPath" Target="Absolute/Excel/Excel_Niveau1_Banque/Semaine%202/Exercice2_2_Dash_B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ees_Brutes"/>
      <sheetName val="Calculs"/>
      <sheetName val="Dashboard"/>
    </sheetNames>
    <sheetDataSet>
      <sheetData sheetId="0">
        <row r="2">
          <cell r="O2" t="str">
            <v>KAMGA</v>
          </cell>
          <cell r="P2">
            <v>22000000</v>
          </cell>
        </row>
        <row r="3">
          <cell r="O3" t="str">
            <v>ABANDA</v>
          </cell>
          <cell r="P3">
            <v>15600000</v>
          </cell>
        </row>
        <row r="4">
          <cell r="O4" t="str">
            <v>FOKAM</v>
          </cell>
          <cell r="P4">
            <v>9900000</v>
          </cell>
        </row>
        <row r="5">
          <cell r="O5" t="str">
            <v>BELLO</v>
          </cell>
          <cell r="P5">
            <v>8200000</v>
          </cell>
        </row>
        <row r="6">
          <cell r="O6" t="str">
            <v>TCHOUPO</v>
          </cell>
          <cell r="P6">
            <v>5400000</v>
          </cell>
        </row>
      </sheetData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20D0-F812-4F5B-8F0C-D815384921AB}">
  <dimension ref="A1:I16"/>
  <sheetViews>
    <sheetView workbookViewId="0">
      <selection activeCell="D23" sqref="D23"/>
    </sheetView>
  </sheetViews>
  <sheetFormatPr baseColWidth="10" defaultRowHeight="14.5" x14ac:dyDescent="0.35"/>
  <cols>
    <col min="1" max="1" width="8.54296875" bestFit="1" customWidth="1"/>
    <col min="2" max="2" width="9.7265625" bestFit="1" customWidth="1"/>
    <col min="3" max="3" width="7.81640625" bestFit="1" customWidth="1"/>
    <col min="4" max="4" width="12.1796875" bestFit="1" customWidth="1"/>
    <col min="5" max="5" width="10.7265625" bestFit="1" customWidth="1"/>
    <col min="6" max="6" width="5.90625" bestFit="1" customWidth="1"/>
    <col min="7" max="7" width="13.81640625" bestFit="1" customWidth="1"/>
    <col min="8" max="8" width="7.36328125" bestFit="1" customWidth="1"/>
    <col min="9" max="9" width="14.36328125" bestFit="1" customWidth="1"/>
  </cols>
  <sheetData>
    <row r="1" spans="1:9" ht="21" customHeigh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5" t="s">
        <v>7</v>
      </c>
      <c r="I1" s="8" t="s">
        <v>8</v>
      </c>
    </row>
    <row r="2" spans="1:9" ht="21" customHeight="1" x14ac:dyDescent="0.35">
      <c r="A2" s="9" t="s">
        <v>9</v>
      </c>
      <c r="B2" s="1" t="s">
        <v>10</v>
      </c>
      <c r="C2" s="1" t="s">
        <v>11</v>
      </c>
      <c r="D2" s="1" t="s">
        <v>12</v>
      </c>
      <c r="E2" s="2">
        <v>1250000</v>
      </c>
      <c r="F2" s="1" t="s">
        <v>13</v>
      </c>
      <c r="G2" s="3">
        <v>44168</v>
      </c>
      <c r="H2" s="1" t="s">
        <v>14</v>
      </c>
      <c r="I2" s="10" t="str">
        <f>IF(E2=0,"Compte vide",IF(E2&lt;500000,"Solde fiable",IF(E2&lt;5000000,"Solde moyen","Solde eleve")))</f>
        <v>Solde moyen</v>
      </c>
    </row>
    <row r="3" spans="1:9" ht="21" customHeight="1" x14ac:dyDescent="0.35">
      <c r="A3" s="9" t="s">
        <v>15</v>
      </c>
      <c r="B3" s="1" t="s">
        <v>16</v>
      </c>
      <c r="C3" s="1" t="s">
        <v>17</v>
      </c>
      <c r="D3" s="1" t="s">
        <v>18</v>
      </c>
      <c r="E3" s="2">
        <v>3800000</v>
      </c>
      <c r="F3" s="1" t="s">
        <v>13</v>
      </c>
      <c r="G3" s="3">
        <v>43592</v>
      </c>
      <c r="H3" s="1" t="s">
        <v>19</v>
      </c>
      <c r="I3" s="10" t="str">
        <f t="shared" ref="I3:I16" si="0">IF(E3=0,"Compte vide",IF(E3&lt;500000,"Solde fiable",IF(E3&lt;5000000,"Solde moyen","Solde eleve")))</f>
        <v>Solde moyen</v>
      </c>
    </row>
    <row r="4" spans="1:9" ht="21" customHeight="1" x14ac:dyDescent="0.35">
      <c r="A4" s="9" t="s">
        <v>20</v>
      </c>
      <c r="B4" s="1" t="s">
        <v>21</v>
      </c>
      <c r="C4" s="1" t="s">
        <v>22</v>
      </c>
      <c r="D4" s="1" t="s">
        <v>12</v>
      </c>
      <c r="E4" s="2">
        <v>450000</v>
      </c>
      <c r="F4" s="1" t="s">
        <v>13</v>
      </c>
      <c r="G4" s="3" t="s">
        <v>23</v>
      </c>
      <c r="H4" s="1" t="s">
        <v>14</v>
      </c>
      <c r="I4" s="10" t="str">
        <f t="shared" si="0"/>
        <v>Solde fiable</v>
      </c>
    </row>
    <row r="5" spans="1:9" ht="21" customHeight="1" x14ac:dyDescent="0.35">
      <c r="A5" s="9" t="s">
        <v>24</v>
      </c>
      <c r="B5" s="1" t="s">
        <v>25</v>
      </c>
      <c r="C5" s="1" t="s">
        <v>26</v>
      </c>
      <c r="D5" s="1" t="s">
        <v>27</v>
      </c>
      <c r="E5" s="2">
        <v>8200000</v>
      </c>
      <c r="F5" s="1" t="s">
        <v>13</v>
      </c>
      <c r="G5" s="3" t="s">
        <v>28</v>
      </c>
      <c r="H5" s="1" t="s">
        <v>29</v>
      </c>
      <c r="I5" s="10" t="str">
        <f t="shared" si="0"/>
        <v>Solde eleve</v>
      </c>
    </row>
    <row r="6" spans="1:9" ht="21" customHeight="1" x14ac:dyDescent="0.35">
      <c r="A6" s="9" t="s">
        <v>30</v>
      </c>
      <c r="B6" s="1" t="s">
        <v>31</v>
      </c>
      <c r="C6" s="1" t="s">
        <v>32</v>
      </c>
      <c r="D6" s="1" t="s">
        <v>18</v>
      </c>
      <c r="E6" s="2">
        <v>125000</v>
      </c>
      <c r="F6" s="1" t="s">
        <v>33</v>
      </c>
      <c r="G6" s="3" t="s">
        <v>34</v>
      </c>
      <c r="H6" s="1" t="s">
        <v>14</v>
      </c>
      <c r="I6" s="10" t="str">
        <f t="shared" si="0"/>
        <v>Solde fiable</v>
      </c>
    </row>
    <row r="7" spans="1:9" ht="21" customHeight="1" x14ac:dyDescent="0.35">
      <c r="A7" s="9" t="s">
        <v>35</v>
      </c>
      <c r="B7" s="1" t="s">
        <v>36</v>
      </c>
      <c r="C7" s="1" t="s">
        <v>37</v>
      </c>
      <c r="D7" s="1" t="s">
        <v>12</v>
      </c>
      <c r="E7" s="2">
        <v>2100000</v>
      </c>
      <c r="F7" s="1" t="s">
        <v>13</v>
      </c>
      <c r="G7" s="3">
        <v>42956</v>
      </c>
      <c r="H7" s="1" t="s">
        <v>19</v>
      </c>
      <c r="I7" s="10" t="str">
        <f t="shared" si="0"/>
        <v>Solde moyen</v>
      </c>
    </row>
    <row r="8" spans="1:9" ht="21" customHeight="1" x14ac:dyDescent="0.35">
      <c r="A8" s="9" t="s">
        <v>38</v>
      </c>
      <c r="B8" s="1" t="s">
        <v>39</v>
      </c>
      <c r="C8" s="1" t="s">
        <v>40</v>
      </c>
      <c r="D8" s="1" t="s">
        <v>27</v>
      </c>
      <c r="E8" s="2">
        <v>15600000</v>
      </c>
      <c r="F8" s="1" t="s">
        <v>13</v>
      </c>
      <c r="G8" s="3" t="s">
        <v>41</v>
      </c>
      <c r="H8" s="1" t="s">
        <v>29</v>
      </c>
      <c r="I8" s="10" t="str">
        <f t="shared" si="0"/>
        <v>Solde eleve</v>
      </c>
    </row>
    <row r="9" spans="1:9" ht="21" customHeight="1" x14ac:dyDescent="0.35">
      <c r="A9" s="9" t="s">
        <v>42</v>
      </c>
      <c r="B9" s="1" t="s">
        <v>43</v>
      </c>
      <c r="C9" s="1" t="s">
        <v>44</v>
      </c>
      <c r="D9" s="1" t="s">
        <v>12</v>
      </c>
      <c r="E9" s="2">
        <v>0</v>
      </c>
      <c r="F9" s="1" t="s">
        <v>33</v>
      </c>
      <c r="G9" s="3" t="s">
        <v>45</v>
      </c>
      <c r="H9" s="1" t="s">
        <v>14</v>
      </c>
      <c r="I9" s="10" t="str">
        <f t="shared" si="0"/>
        <v>Compte vide</v>
      </c>
    </row>
    <row r="10" spans="1:9" ht="21" customHeight="1" x14ac:dyDescent="0.35">
      <c r="A10" s="9" t="s">
        <v>46</v>
      </c>
      <c r="B10" s="1" t="s">
        <v>47</v>
      </c>
      <c r="C10" s="1" t="s">
        <v>48</v>
      </c>
      <c r="D10" s="1" t="s">
        <v>18</v>
      </c>
      <c r="E10" s="2">
        <v>5400000</v>
      </c>
      <c r="F10" s="1" t="s">
        <v>13</v>
      </c>
      <c r="G10" s="3">
        <v>43781</v>
      </c>
      <c r="H10" s="1" t="s">
        <v>19</v>
      </c>
      <c r="I10" s="10" t="str">
        <f t="shared" si="0"/>
        <v>Solde eleve</v>
      </c>
    </row>
    <row r="11" spans="1:9" ht="21" customHeight="1" x14ac:dyDescent="0.35">
      <c r="A11" s="9" t="s">
        <v>49</v>
      </c>
      <c r="B11" s="1" t="s">
        <v>50</v>
      </c>
      <c r="C11" s="1" t="s">
        <v>51</v>
      </c>
      <c r="D11" s="1" t="s">
        <v>12</v>
      </c>
      <c r="E11" s="2">
        <v>780000</v>
      </c>
      <c r="F11" s="1" t="s">
        <v>13</v>
      </c>
      <c r="G11" s="3">
        <v>44258</v>
      </c>
      <c r="H11" s="1" t="s">
        <v>14</v>
      </c>
      <c r="I11" s="10" t="str">
        <f t="shared" si="0"/>
        <v>Solde moyen</v>
      </c>
    </row>
    <row r="12" spans="1:9" ht="21" customHeight="1" x14ac:dyDescent="0.35">
      <c r="A12" s="9" t="s">
        <v>52</v>
      </c>
      <c r="B12" s="1" t="s">
        <v>53</v>
      </c>
      <c r="C12" s="1" t="s">
        <v>54</v>
      </c>
      <c r="D12" s="1" t="s">
        <v>27</v>
      </c>
      <c r="E12" s="2">
        <v>22000000</v>
      </c>
      <c r="F12" s="1" t="s">
        <v>13</v>
      </c>
      <c r="G12" s="3" t="s">
        <v>55</v>
      </c>
      <c r="H12" s="1" t="s">
        <v>19</v>
      </c>
      <c r="I12" s="10" t="str">
        <f t="shared" si="0"/>
        <v>Solde eleve</v>
      </c>
    </row>
    <row r="13" spans="1:9" ht="21" customHeight="1" x14ac:dyDescent="0.35">
      <c r="A13" s="9" t="s">
        <v>56</v>
      </c>
      <c r="B13" s="1" t="s">
        <v>57</v>
      </c>
      <c r="C13" s="1" t="s">
        <v>58</v>
      </c>
      <c r="D13" s="1" t="s">
        <v>18</v>
      </c>
      <c r="E13" s="2">
        <v>350000</v>
      </c>
      <c r="F13" s="1" t="s">
        <v>13</v>
      </c>
      <c r="G13" s="3" t="s">
        <v>59</v>
      </c>
      <c r="H13" s="1" t="s">
        <v>29</v>
      </c>
      <c r="I13" s="10" t="str">
        <f t="shared" si="0"/>
        <v>Solde fiable</v>
      </c>
    </row>
    <row r="14" spans="1:9" ht="21" customHeight="1" x14ac:dyDescent="0.35">
      <c r="A14" s="9" t="s">
        <v>60</v>
      </c>
      <c r="B14" s="1" t="s">
        <v>61</v>
      </c>
      <c r="C14" s="1" t="s">
        <v>62</v>
      </c>
      <c r="D14" s="1" t="s">
        <v>12</v>
      </c>
      <c r="E14" s="2">
        <v>95000</v>
      </c>
      <c r="F14" s="1" t="s">
        <v>33</v>
      </c>
      <c r="G14" s="3">
        <v>45174</v>
      </c>
      <c r="H14" s="1" t="s">
        <v>14</v>
      </c>
      <c r="I14" s="10" t="str">
        <f t="shared" si="0"/>
        <v>Solde fiable</v>
      </c>
    </row>
    <row r="15" spans="1:9" ht="21" customHeight="1" x14ac:dyDescent="0.35">
      <c r="A15" s="9" t="s">
        <v>63</v>
      </c>
      <c r="B15" s="1" t="s">
        <v>64</v>
      </c>
      <c r="C15" s="1" t="s">
        <v>65</v>
      </c>
      <c r="D15" s="1" t="s">
        <v>18</v>
      </c>
      <c r="E15" s="2">
        <v>4750000</v>
      </c>
      <c r="F15" s="1" t="s">
        <v>13</v>
      </c>
      <c r="G15" s="3" t="s">
        <v>66</v>
      </c>
      <c r="H15" s="1" t="s">
        <v>19</v>
      </c>
      <c r="I15" s="10" t="str">
        <f t="shared" si="0"/>
        <v>Solde moyen</v>
      </c>
    </row>
    <row r="16" spans="1:9" ht="21" customHeight="1" x14ac:dyDescent="0.35">
      <c r="A16" s="11" t="s">
        <v>67</v>
      </c>
      <c r="B16" s="12" t="s">
        <v>68</v>
      </c>
      <c r="C16" s="12" t="s">
        <v>69</v>
      </c>
      <c r="D16" s="12" t="s">
        <v>27</v>
      </c>
      <c r="E16" s="13">
        <v>9900000</v>
      </c>
      <c r="F16" s="12" t="s">
        <v>13</v>
      </c>
      <c r="G16" s="14">
        <v>43257</v>
      </c>
      <c r="H16" s="12" t="s">
        <v>29</v>
      </c>
      <c r="I16" s="15" t="str">
        <f t="shared" si="0"/>
        <v>Solde eleve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9254-6593-40F8-8ADC-E426EB0A4B11}">
  <dimension ref="A1:L21"/>
  <sheetViews>
    <sheetView workbookViewId="0">
      <selection activeCell="M10" sqref="M10"/>
    </sheetView>
  </sheetViews>
  <sheetFormatPr baseColWidth="10" defaultRowHeight="14.5" x14ac:dyDescent="0.35"/>
  <cols>
    <col min="1" max="1" width="3.08984375" bestFit="1" customWidth="1"/>
    <col min="2" max="2" width="8.7265625" bestFit="1" customWidth="1"/>
    <col min="3" max="3" width="10.08984375" bestFit="1" customWidth="1"/>
    <col min="4" max="4" width="9.26953125" bestFit="1" customWidth="1"/>
    <col min="5" max="5" width="14.81640625" bestFit="1" customWidth="1"/>
    <col min="6" max="6" width="8.1796875" bestFit="1" customWidth="1"/>
    <col min="7" max="7" width="7.1796875" bestFit="1" customWidth="1"/>
    <col min="8" max="8" width="4.6328125" bestFit="1" customWidth="1"/>
    <col min="9" max="9" width="8.7265625" bestFit="1" customWidth="1"/>
    <col min="10" max="10" width="14" bestFit="1" customWidth="1"/>
    <col min="11" max="11" width="13" bestFit="1" customWidth="1"/>
    <col min="12" max="12" width="13.36328125" bestFit="1" customWidth="1"/>
  </cols>
  <sheetData>
    <row r="1" spans="1:12" x14ac:dyDescent="0.35">
      <c r="A1" s="4" t="s">
        <v>70</v>
      </c>
      <c r="B1" s="5" t="s">
        <v>71</v>
      </c>
      <c r="C1" s="5" t="s">
        <v>72</v>
      </c>
      <c r="D1" s="5" t="s">
        <v>0</v>
      </c>
      <c r="E1" s="6" t="s">
        <v>73</v>
      </c>
      <c r="F1" s="5" t="s">
        <v>74</v>
      </c>
      <c r="G1" s="7" t="s">
        <v>75</v>
      </c>
      <c r="H1" s="5" t="s">
        <v>76</v>
      </c>
      <c r="I1" s="5" t="s">
        <v>77</v>
      </c>
      <c r="J1" s="29" t="s">
        <v>78</v>
      </c>
      <c r="K1" s="5" t="s">
        <v>79</v>
      </c>
      <c r="L1" s="5" t="s">
        <v>80</v>
      </c>
    </row>
    <row r="2" spans="1:12" x14ac:dyDescent="0.35">
      <c r="A2" s="16">
        <v>1</v>
      </c>
      <c r="B2" s="16" t="s">
        <v>81</v>
      </c>
      <c r="C2" s="17">
        <v>45567</v>
      </c>
      <c r="D2" s="16" t="s">
        <v>9</v>
      </c>
      <c r="E2" s="18">
        <v>250000</v>
      </c>
      <c r="F2" s="16" t="s">
        <v>82</v>
      </c>
      <c r="G2" s="16" t="s">
        <v>83</v>
      </c>
      <c r="H2" s="16"/>
      <c r="I2">
        <f>_xlfn.ISOWEEKNUM(C2)</f>
        <v>40</v>
      </c>
      <c r="J2" t="str">
        <f>IF(E2&gt;5000000, "Haute valeur", "Normal")</f>
        <v>Normal</v>
      </c>
      <c r="K2" t="str">
        <f>IF(AND(E2&gt;5000000, H2="⚠️"), "URGENT", "OK")</f>
        <v>OK</v>
      </c>
      <c r="L2" s="19">
        <f>SUMIF($D$2:D21,D2,$E$2:E21)</f>
        <v>430000</v>
      </c>
    </row>
    <row r="3" spans="1:12" x14ac:dyDescent="0.35">
      <c r="A3" s="16">
        <v>2</v>
      </c>
      <c r="B3" s="16" t="s">
        <v>84</v>
      </c>
      <c r="C3" s="17">
        <v>45567</v>
      </c>
      <c r="D3" s="16" t="s">
        <v>35</v>
      </c>
      <c r="E3" s="18">
        <v>1800000</v>
      </c>
      <c r="F3" s="16" t="s">
        <v>85</v>
      </c>
      <c r="G3" s="16" t="s">
        <v>86</v>
      </c>
      <c r="H3" s="16"/>
      <c r="I3">
        <f t="shared" ref="I3:I21" si="0">_xlfn.ISOWEEKNUM(C3)</f>
        <v>40</v>
      </c>
      <c r="J3" t="str">
        <f t="shared" ref="J3:J21" si="1">IF(E3&gt;5000000, "Haute valeur", "Normal")</f>
        <v>Normal</v>
      </c>
      <c r="K3" t="str">
        <f t="shared" ref="K3:K21" si="2">IF(AND(E3&gt;5000000, H3="⚠️"), "URGENT", "OK")</f>
        <v>OK</v>
      </c>
      <c r="L3" s="19">
        <f>SUMIF($D$2:D22,D3,$E$2:E22)</f>
        <v>1800000</v>
      </c>
    </row>
    <row r="4" spans="1:12" x14ac:dyDescent="0.35">
      <c r="A4" s="16">
        <v>3</v>
      </c>
      <c r="B4" s="16" t="s">
        <v>87</v>
      </c>
      <c r="C4" s="17">
        <v>45568</v>
      </c>
      <c r="D4" s="16" t="s">
        <v>20</v>
      </c>
      <c r="E4" s="18">
        <v>75000</v>
      </c>
      <c r="F4" s="16" t="s">
        <v>88</v>
      </c>
      <c r="G4" s="16" t="s">
        <v>83</v>
      </c>
      <c r="H4" s="16"/>
      <c r="I4">
        <f t="shared" si="0"/>
        <v>40</v>
      </c>
      <c r="J4" t="str">
        <f t="shared" si="1"/>
        <v>Normal</v>
      </c>
      <c r="K4" t="str">
        <f t="shared" si="2"/>
        <v>OK</v>
      </c>
      <c r="L4" s="19">
        <f>SUMIF($D$2:D23,D4,$E$2:E23)</f>
        <v>110000</v>
      </c>
    </row>
    <row r="5" spans="1:12" x14ac:dyDescent="0.35">
      <c r="A5" s="16">
        <v>4</v>
      </c>
      <c r="B5" s="16" t="s">
        <v>89</v>
      </c>
      <c r="C5" s="17">
        <v>45570</v>
      </c>
      <c r="D5" s="16" t="s">
        <v>52</v>
      </c>
      <c r="E5" s="18">
        <v>9500000</v>
      </c>
      <c r="F5" s="16" t="s">
        <v>85</v>
      </c>
      <c r="G5" s="16" t="s">
        <v>90</v>
      </c>
      <c r="H5" s="20" t="s">
        <v>91</v>
      </c>
      <c r="I5">
        <f t="shared" si="0"/>
        <v>40</v>
      </c>
      <c r="J5" t="str">
        <f t="shared" si="1"/>
        <v>Haute valeur</v>
      </c>
      <c r="K5" t="str">
        <f t="shared" si="2"/>
        <v>URGENT</v>
      </c>
      <c r="L5" s="19">
        <f>SUMIF($D$2:D24,D5,$E$2:E24)</f>
        <v>29300000</v>
      </c>
    </row>
    <row r="6" spans="1:12" x14ac:dyDescent="0.35">
      <c r="A6" s="16">
        <v>5</v>
      </c>
      <c r="B6" s="16" t="s">
        <v>92</v>
      </c>
      <c r="C6" s="17">
        <v>45572</v>
      </c>
      <c r="D6" s="16" t="s">
        <v>15</v>
      </c>
      <c r="E6" s="18">
        <v>300000</v>
      </c>
      <c r="F6" s="16" t="s">
        <v>82</v>
      </c>
      <c r="G6" s="16" t="s">
        <v>93</v>
      </c>
      <c r="H6" s="16"/>
      <c r="I6">
        <f t="shared" si="0"/>
        <v>41</v>
      </c>
      <c r="J6" t="str">
        <f t="shared" si="1"/>
        <v>Normal</v>
      </c>
      <c r="K6" t="str">
        <f t="shared" si="2"/>
        <v>OK</v>
      </c>
      <c r="L6" s="19">
        <f>SUMIF($D$2:D25,D6,$E$2:E25)</f>
        <v>395000</v>
      </c>
    </row>
    <row r="7" spans="1:12" x14ac:dyDescent="0.35">
      <c r="A7" s="16">
        <v>6</v>
      </c>
      <c r="B7" s="16" t="s">
        <v>94</v>
      </c>
      <c r="C7" s="17">
        <v>45573</v>
      </c>
      <c r="D7" s="16" t="s">
        <v>42</v>
      </c>
      <c r="E7" s="18">
        <v>0</v>
      </c>
      <c r="F7" s="16" t="s">
        <v>88</v>
      </c>
      <c r="G7" s="16" t="s">
        <v>83</v>
      </c>
      <c r="H7" s="20" t="s">
        <v>91</v>
      </c>
      <c r="I7">
        <f t="shared" si="0"/>
        <v>41</v>
      </c>
      <c r="J7" t="str">
        <f t="shared" si="1"/>
        <v>Normal</v>
      </c>
      <c r="K7" t="str">
        <f t="shared" si="2"/>
        <v>OK</v>
      </c>
      <c r="L7" s="19">
        <f>SUMIF($D$2:D26,D7,$E$2:E26)</f>
        <v>0</v>
      </c>
    </row>
    <row r="8" spans="1:12" x14ac:dyDescent="0.35">
      <c r="A8" s="16">
        <v>7</v>
      </c>
      <c r="B8" s="16" t="s">
        <v>95</v>
      </c>
      <c r="C8" s="21">
        <v>45575</v>
      </c>
      <c r="D8" s="16" t="s">
        <v>24</v>
      </c>
      <c r="E8" s="18">
        <v>2100000</v>
      </c>
      <c r="F8" s="16" t="s">
        <v>85</v>
      </c>
      <c r="G8" s="16" t="s">
        <v>90</v>
      </c>
      <c r="H8" s="16"/>
      <c r="I8">
        <f t="shared" si="0"/>
        <v>41</v>
      </c>
      <c r="J8" t="str">
        <f t="shared" si="1"/>
        <v>Normal</v>
      </c>
      <c r="K8" t="str">
        <f t="shared" si="2"/>
        <v>OK</v>
      </c>
      <c r="L8" s="19">
        <f>SUMIF($D$2:D27,D8,$E$2:E27)</f>
        <v>2100000</v>
      </c>
    </row>
    <row r="9" spans="1:12" x14ac:dyDescent="0.35">
      <c r="A9" s="16">
        <v>8</v>
      </c>
      <c r="B9" s="16" t="s">
        <v>96</v>
      </c>
      <c r="C9" s="17">
        <v>45577</v>
      </c>
      <c r="D9" s="16" t="s">
        <v>67</v>
      </c>
      <c r="E9" s="18">
        <v>8200000</v>
      </c>
      <c r="F9" s="16" t="s">
        <v>85</v>
      </c>
      <c r="G9" s="16" t="s">
        <v>90</v>
      </c>
      <c r="H9" s="20" t="s">
        <v>91</v>
      </c>
      <c r="I9">
        <f t="shared" si="0"/>
        <v>41</v>
      </c>
      <c r="J9" t="str">
        <f t="shared" si="1"/>
        <v>Haute valeur</v>
      </c>
      <c r="K9" t="str">
        <f t="shared" si="2"/>
        <v>URGENT</v>
      </c>
      <c r="L9" s="19">
        <f>SUMIF($D$2:D28,D9,$E$2:E28)</f>
        <v>8200000</v>
      </c>
    </row>
    <row r="10" spans="1:12" x14ac:dyDescent="0.35">
      <c r="A10" s="16">
        <v>9</v>
      </c>
      <c r="B10" s="16" t="s">
        <v>97</v>
      </c>
      <c r="C10" s="17">
        <v>45579</v>
      </c>
      <c r="D10" s="16" t="s">
        <v>98</v>
      </c>
      <c r="E10" s="18">
        <v>450000</v>
      </c>
      <c r="F10" s="16" t="s">
        <v>82</v>
      </c>
      <c r="G10" s="16" t="s">
        <v>93</v>
      </c>
      <c r="H10" s="16"/>
      <c r="I10">
        <f t="shared" si="0"/>
        <v>42</v>
      </c>
      <c r="J10" t="str">
        <f t="shared" si="1"/>
        <v>Normal</v>
      </c>
      <c r="K10" t="str">
        <f t="shared" si="2"/>
        <v>OK</v>
      </c>
      <c r="L10" s="19">
        <f>SUMIF($D$2:D29,D10,$E$2:E29)</f>
        <v>450000</v>
      </c>
    </row>
    <row r="11" spans="1:12" x14ac:dyDescent="0.35">
      <c r="A11" s="16">
        <v>10</v>
      </c>
      <c r="B11" s="16" t="s">
        <v>99</v>
      </c>
      <c r="C11" s="17">
        <v>45580</v>
      </c>
      <c r="D11" s="16" t="s">
        <v>60</v>
      </c>
      <c r="E11" s="18">
        <v>10000</v>
      </c>
      <c r="F11" s="16" t="s">
        <v>88</v>
      </c>
      <c r="G11" s="16" t="s">
        <v>86</v>
      </c>
      <c r="H11" s="16"/>
      <c r="I11">
        <f t="shared" si="0"/>
        <v>42</v>
      </c>
      <c r="J11" t="str">
        <f t="shared" si="1"/>
        <v>Normal</v>
      </c>
      <c r="K11" t="str">
        <f t="shared" si="2"/>
        <v>OK</v>
      </c>
      <c r="L11" s="19">
        <f>SUMIF($D$2:D30,D11,$E$2:E30)</f>
        <v>10000</v>
      </c>
    </row>
    <row r="12" spans="1:12" x14ac:dyDescent="0.35">
      <c r="A12" s="16">
        <v>11</v>
      </c>
      <c r="B12" s="16" t="s">
        <v>100</v>
      </c>
      <c r="C12" s="17">
        <v>45581</v>
      </c>
      <c r="D12" s="16" t="s">
        <v>9</v>
      </c>
      <c r="E12" s="18">
        <v>180000</v>
      </c>
      <c r="F12" s="16" t="s">
        <v>82</v>
      </c>
      <c r="G12" s="16" t="s">
        <v>93</v>
      </c>
      <c r="H12" s="16"/>
      <c r="I12">
        <f t="shared" si="0"/>
        <v>42</v>
      </c>
      <c r="J12" t="str">
        <f t="shared" si="1"/>
        <v>Normal</v>
      </c>
      <c r="K12" t="str">
        <f t="shared" si="2"/>
        <v>OK</v>
      </c>
      <c r="L12" s="19">
        <f>SUMIF($D$2:D31,D12,$E$2:E31)</f>
        <v>430000</v>
      </c>
    </row>
    <row r="13" spans="1:12" x14ac:dyDescent="0.35">
      <c r="A13" s="16">
        <v>12</v>
      </c>
      <c r="B13" s="16" t="s">
        <v>101</v>
      </c>
      <c r="C13" s="17">
        <v>45583</v>
      </c>
      <c r="D13" s="16" t="s">
        <v>46</v>
      </c>
      <c r="E13" s="18">
        <v>620000</v>
      </c>
      <c r="F13" s="16" t="s">
        <v>85</v>
      </c>
      <c r="G13" s="16" t="s">
        <v>90</v>
      </c>
      <c r="H13" s="16"/>
      <c r="I13">
        <f t="shared" si="0"/>
        <v>42</v>
      </c>
      <c r="J13" t="str">
        <f t="shared" si="1"/>
        <v>Normal</v>
      </c>
      <c r="K13" t="str">
        <f t="shared" si="2"/>
        <v>OK</v>
      </c>
      <c r="L13" s="19">
        <f>SUMIF($D$2:D32,D13,$E$2:E32)</f>
        <v>620000</v>
      </c>
    </row>
    <row r="14" spans="1:12" x14ac:dyDescent="0.35">
      <c r="A14" s="16">
        <v>13</v>
      </c>
      <c r="B14" s="16" t="s">
        <v>102</v>
      </c>
      <c r="C14" s="17">
        <v>45584</v>
      </c>
      <c r="D14" s="16" t="s">
        <v>15</v>
      </c>
      <c r="E14" s="18">
        <v>95000</v>
      </c>
      <c r="F14" s="16" t="s">
        <v>88</v>
      </c>
      <c r="G14" s="16" t="s">
        <v>83</v>
      </c>
      <c r="H14" s="16"/>
      <c r="I14">
        <f t="shared" si="0"/>
        <v>42</v>
      </c>
      <c r="J14" t="str">
        <f t="shared" si="1"/>
        <v>Normal</v>
      </c>
      <c r="K14" t="str">
        <f t="shared" si="2"/>
        <v>OK</v>
      </c>
      <c r="L14" s="19">
        <f>SUMIF($D$2:D33,D14,$E$2:E33)</f>
        <v>395000</v>
      </c>
    </row>
    <row r="15" spans="1:12" x14ac:dyDescent="0.35">
      <c r="A15" s="16">
        <v>14</v>
      </c>
      <c r="B15" s="16" t="s">
        <v>103</v>
      </c>
      <c r="C15" s="17">
        <v>45585</v>
      </c>
      <c r="D15" s="16" t="s">
        <v>52</v>
      </c>
      <c r="E15" s="18">
        <v>12000000</v>
      </c>
      <c r="F15" s="16" t="s">
        <v>85</v>
      </c>
      <c r="G15" s="16" t="s">
        <v>90</v>
      </c>
      <c r="H15" s="20" t="s">
        <v>91</v>
      </c>
      <c r="I15">
        <f t="shared" si="0"/>
        <v>42</v>
      </c>
      <c r="J15" t="str">
        <f t="shared" si="1"/>
        <v>Haute valeur</v>
      </c>
      <c r="K15" t="str">
        <f t="shared" si="2"/>
        <v>URGENT</v>
      </c>
      <c r="L15" s="19">
        <f>SUMIF($D$2:D34,D15,$E$2:E34)</f>
        <v>29300000</v>
      </c>
    </row>
    <row r="16" spans="1:12" x14ac:dyDescent="0.35">
      <c r="A16" s="16">
        <v>15</v>
      </c>
      <c r="B16" s="16" t="s">
        <v>104</v>
      </c>
      <c r="C16" s="17">
        <v>45587</v>
      </c>
      <c r="D16" s="16" t="s">
        <v>30</v>
      </c>
      <c r="E16" s="18">
        <v>50000</v>
      </c>
      <c r="F16" s="16" t="s">
        <v>82</v>
      </c>
      <c r="G16" s="16" t="s">
        <v>93</v>
      </c>
      <c r="H16" s="16"/>
      <c r="I16">
        <f t="shared" si="0"/>
        <v>43</v>
      </c>
      <c r="J16" t="str">
        <f t="shared" si="1"/>
        <v>Normal</v>
      </c>
      <c r="K16" t="str">
        <f t="shared" si="2"/>
        <v>OK</v>
      </c>
      <c r="L16" s="19">
        <f>SUMIF($D$2:D35,D16,$E$2:E35)</f>
        <v>50000</v>
      </c>
    </row>
    <row r="17" spans="1:12" x14ac:dyDescent="0.35">
      <c r="A17" s="16">
        <v>16</v>
      </c>
      <c r="B17" s="16" t="s">
        <v>105</v>
      </c>
      <c r="C17" s="17">
        <v>45589</v>
      </c>
      <c r="D17" s="16" t="s">
        <v>63</v>
      </c>
      <c r="E17" s="18">
        <v>900000</v>
      </c>
      <c r="F17" s="16" t="s">
        <v>85</v>
      </c>
      <c r="G17" s="16" t="s">
        <v>86</v>
      </c>
      <c r="H17" s="16"/>
      <c r="I17">
        <f t="shared" si="0"/>
        <v>43</v>
      </c>
      <c r="J17" t="str">
        <f t="shared" si="1"/>
        <v>Normal</v>
      </c>
      <c r="K17" t="str">
        <f t="shared" si="2"/>
        <v>OK</v>
      </c>
      <c r="L17" s="19">
        <f>SUMIF($D$2:D36,D17,$E$2:E36)</f>
        <v>900000</v>
      </c>
    </row>
    <row r="18" spans="1:12" x14ac:dyDescent="0.35">
      <c r="A18" s="16">
        <v>17</v>
      </c>
      <c r="B18" s="16" t="s">
        <v>106</v>
      </c>
      <c r="C18" s="17">
        <v>45590</v>
      </c>
      <c r="D18" s="16" t="s">
        <v>20</v>
      </c>
      <c r="E18" s="18">
        <v>35000</v>
      </c>
      <c r="F18" s="16" t="s">
        <v>82</v>
      </c>
      <c r="G18" s="16" t="s">
        <v>83</v>
      </c>
      <c r="H18" s="16"/>
      <c r="I18">
        <f t="shared" si="0"/>
        <v>43</v>
      </c>
      <c r="J18" t="str">
        <f t="shared" si="1"/>
        <v>Normal</v>
      </c>
      <c r="K18" t="str">
        <f t="shared" si="2"/>
        <v>OK</v>
      </c>
      <c r="L18" s="19">
        <f>SUMIF($D$2:D37,D18,$E$2:E37)</f>
        <v>110000</v>
      </c>
    </row>
    <row r="19" spans="1:12" x14ac:dyDescent="0.35">
      <c r="A19" s="16">
        <v>18</v>
      </c>
      <c r="B19" s="16" t="s">
        <v>107</v>
      </c>
      <c r="C19" s="17">
        <v>45591</v>
      </c>
      <c r="D19" s="16" t="s">
        <v>56</v>
      </c>
      <c r="E19" s="18">
        <v>200000</v>
      </c>
      <c r="F19" s="16" t="s">
        <v>88</v>
      </c>
      <c r="G19" s="16" t="s">
        <v>83</v>
      </c>
      <c r="H19" s="16"/>
      <c r="I19">
        <f t="shared" si="0"/>
        <v>43</v>
      </c>
      <c r="J19" t="str">
        <f t="shared" si="1"/>
        <v>Normal</v>
      </c>
      <c r="K19" t="str">
        <f t="shared" si="2"/>
        <v>OK</v>
      </c>
      <c r="L19" s="19">
        <f>SUMIF($D$2:D38,D19,$E$2:E38)</f>
        <v>200000</v>
      </c>
    </row>
    <row r="20" spans="1:12" x14ac:dyDescent="0.35">
      <c r="A20" s="16">
        <v>19</v>
      </c>
      <c r="B20" s="16" t="s">
        <v>108</v>
      </c>
      <c r="C20" s="17">
        <v>45593</v>
      </c>
      <c r="D20" s="16" t="s">
        <v>38</v>
      </c>
      <c r="E20" s="18">
        <v>3400000</v>
      </c>
      <c r="F20" s="16" t="s">
        <v>85</v>
      </c>
      <c r="G20" s="16" t="s">
        <v>90</v>
      </c>
      <c r="H20" s="16"/>
      <c r="I20">
        <f t="shared" si="0"/>
        <v>44</v>
      </c>
      <c r="J20" t="str">
        <f t="shared" si="1"/>
        <v>Normal</v>
      </c>
      <c r="K20" t="str">
        <f t="shared" si="2"/>
        <v>OK</v>
      </c>
      <c r="L20" s="19">
        <f>SUMIF($D$2:D39,D20,$E$2:E39)</f>
        <v>3400000</v>
      </c>
    </row>
    <row r="21" spans="1:12" x14ac:dyDescent="0.35">
      <c r="A21" s="16">
        <v>20</v>
      </c>
      <c r="B21" s="16" t="s">
        <v>109</v>
      </c>
      <c r="C21" s="17">
        <v>45595</v>
      </c>
      <c r="D21" s="16" t="s">
        <v>52</v>
      </c>
      <c r="E21" s="18">
        <v>7800000</v>
      </c>
      <c r="F21" s="16" t="s">
        <v>82</v>
      </c>
      <c r="G21" s="16" t="s">
        <v>83</v>
      </c>
      <c r="H21" s="20" t="s">
        <v>91</v>
      </c>
      <c r="I21">
        <f t="shared" si="0"/>
        <v>44</v>
      </c>
      <c r="J21" t="str">
        <f t="shared" si="1"/>
        <v>Haute valeur</v>
      </c>
      <c r="K21" t="str">
        <f t="shared" si="2"/>
        <v>URGENT</v>
      </c>
      <c r="L21" s="19">
        <f>SUMIF($D$2:D40,D21,$E$2:E40)</f>
        <v>29300000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BF32-0A31-470A-97CB-E7CD4365FEB1}">
  <dimension ref="A1:I21"/>
  <sheetViews>
    <sheetView showGridLines="0" showRowColHeaders="0" tabSelected="1" workbookViewId="0">
      <selection activeCell="A7" sqref="A7"/>
    </sheetView>
  </sheetViews>
  <sheetFormatPr baseColWidth="10" defaultRowHeight="14.5" x14ac:dyDescent="0.35"/>
  <cols>
    <col min="1" max="3" width="10.90625" style="41"/>
    <col min="4" max="4" width="22.6328125" bestFit="1" customWidth="1"/>
    <col min="5" max="5" width="14.81640625" bestFit="1" customWidth="1"/>
    <col min="6" max="6" width="14.90625" bestFit="1" customWidth="1"/>
    <col min="7" max="7" width="49.7265625" hidden="1" customWidth="1"/>
    <col min="8" max="8" width="26.81640625" customWidth="1"/>
    <col min="9" max="9" width="28.1796875" bestFit="1" customWidth="1"/>
  </cols>
  <sheetData>
    <row r="1" spans="4:9" s="41" customFormat="1" x14ac:dyDescent="0.35"/>
    <row r="2" spans="4:9" s="41" customFormat="1" x14ac:dyDescent="0.35"/>
    <row r="3" spans="4:9" ht="31.5" customHeight="1" x14ac:dyDescent="0.35">
      <c r="D3" s="57" t="s">
        <v>127</v>
      </c>
      <c r="E3" s="58"/>
      <c r="F3" s="58"/>
      <c r="G3" s="58"/>
      <c r="H3" s="58"/>
      <c r="I3" s="58"/>
    </row>
    <row r="4" spans="4:9" ht="31.5" customHeight="1" x14ac:dyDescent="0.35">
      <c r="D4" s="53" t="s">
        <v>128</v>
      </c>
      <c r="E4" s="52"/>
      <c r="F4" s="52"/>
      <c r="G4" s="52"/>
      <c r="H4" s="52"/>
      <c r="I4" s="52"/>
    </row>
    <row r="5" spans="4:9" ht="31.5" customHeight="1" x14ac:dyDescent="0.35">
      <c r="D5" s="40" t="s">
        <v>129</v>
      </c>
      <c r="E5" s="52"/>
      <c r="F5" s="52"/>
      <c r="G5" s="52"/>
      <c r="H5" s="52"/>
      <c r="I5" s="52"/>
    </row>
    <row r="6" spans="4:9" ht="31.5" customHeight="1" x14ac:dyDescent="0.35">
      <c r="D6" s="42" t="s">
        <v>130</v>
      </c>
      <c r="E6" s="42" t="s">
        <v>131</v>
      </c>
      <c r="F6" s="42" t="s">
        <v>132</v>
      </c>
      <c r="G6" s="42" t="s">
        <v>133</v>
      </c>
      <c r="H6" s="42" t="s">
        <v>5</v>
      </c>
      <c r="I6" s="42" t="s">
        <v>134</v>
      </c>
    </row>
    <row r="7" spans="4:9" ht="30" x14ac:dyDescent="0.35">
      <c r="D7" s="45">
        <v>1</v>
      </c>
      <c r="E7" s="54" t="s">
        <v>135</v>
      </c>
      <c r="F7" s="43">
        <v>4</v>
      </c>
      <c r="G7" s="46" t="s">
        <v>136</v>
      </c>
      <c r="H7" s="47" t="s">
        <v>137</v>
      </c>
      <c r="I7" s="56">
        <v>46141</v>
      </c>
    </row>
    <row r="8" spans="4:9" ht="30" x14ac:dyDescent="0.35">
      <c r="D8" s="48">
        <v>2</v>
      </c>
      <c r="E8" s="55" t="s">
        <v>138</v>
      </c>
      <c r="F8" s="44">
        <v>15</v>
      </c>
      <c r="G8" s="49" t="s">
        <v>136</v>
      </c>
      <c r="H8" s="47" t="s">
        <v>137</v>
      </c>
      <c r="I8" s="56">
        <v>46141</v>
      </c>
    </row>
    <row r="9" spans="4:9" ht="40" x14ac:dyDescent="0.35">
      <c r="D9" s="45">
        <v>3</v>
      </c>
      <c r="E9" s="54" t="s">
        <v>139</v>
      </c>
      <c r="F9" s="43">
        <v>3</v>
      </c>
      <c r="G9" s="46" t="s">
        <v>140</v>
      </c>
      <c r="H9" s="47" t="s">
        <v>137</v>
      </c>
      <c r="I9" s="56">
        <v>46141</v>
      </c>
    </row>
    <row r="10" spans="4:9" ht="20" x14ac:dyDescent="0.35">
      <c r="D10" s="48">
        <v>4</v>
      </c>
      <c r="E10" s="55" t="s">
        <v>141</v>
      </c>
      <c r="F10" s="44">
        <v>2</v>
      </c>
      <c r="G10" s="49"/>
      <c r="H10" s="47" t="s">
        <v>137</v>
      </c>
      <c r="I10" s="56">
        <v>46141</v>
      </c>
    </row>
    <row r="11" spans="4:9" ht="40" x14ac:dyDescent="0.35">
      <c r="D11" s="45">
        <v>5</v>
      </c>
      <c r="E11" s="54" t="s">
        <v>142</v>
      </c>
      <c r="F11" s="43">
        <v>6</v>
      </c>
      <c r="G11" s="46"/>
      <c r="H11" s="47" t="s">
        <v>137</v>
      </c>
      <c r="I11" s="56">
        <v>46141</v>
      </c>
    </row>
    <row r="12" spans="4:9" ht="20" x14ac:dyDescent="0.35">
      <c r="D12" s="48">
        <v>6</v>
      </c>
      <c r="E12" s="55" t="s">
        <v>143</v>
      </c>
      <c r="F12" s="44">
        <v>1</v>
      </c>
      <c r="G12" s="49" t="s">
        <v>144</v>
      </c>
      <c r="H12" s="47" t="s">
        <v>137</v>
      </c>
      <c r="I12" s="56">
        <v>46141</v>
      </c>
    </row>
    <row r="15" spans="4:9" ht="26" customHeight="1" x14ac:dyDescent="0.35">
      <c r="D15" s="59" t="s">
        <v>145</v>
      </c>
      <c r="E15" s="58"/>
      <c r="F15" s="58"/>
      <c r="G15" s="58"/>
      <c r="H15" s="58"/>
      <c r="I15" s="58"/>
    </row>
    <row r="16" spans="4:9" ht="26" customHeight="1" x14ac:dyDescent="0.35">
      <c r="D16" s="42" t="s">
        <v>146</v>
      </c>
      <c r="E16" s="42" t="s">
        <v>147</v>
      </c>
      <c r="F16" s="42" t="s">
        <v>148</v>
      </c>
      <c r="G16" s="42" t="s">
        <v>149</v>
      </c>
      <c r="H16" s="42" t="s">
        <v>111</v>
      </c>
      <c r="I16" s="42" t="s">
        <v>150</v>
      </c>
    </row>
    <row r="17" spans="4:9" ht="26" customHeight="1" x14ac:dyDescent="0.35">
      <c r="D17" s="50" t="s">
        <v>151</v>
      </c>
      <c r="E17" s="43">
        <v>16</v>
      </c>
      <c r="F17" s="43">
        <v>15</v>
      </c>
      <c r="G17" s="43" t="s">
        <v>152</v>
      </c>
      <c r="H17" s="43" t="s">
        <v>153</v>
      </c>
      <c r="I17" s="43" t="s">
        <v>154</v>
      </c>
    </row>
    <row r="18" spans="4:9" ht="26" customHeight="1" x14ac:dyDescent="0.35">
      <c r="D18" s="51" t="s">
        <v>155</v>
      </c>
      <c r="E18" s="44" t="s">
        <v>156</v>
      </c>
      <c r="F18" s="44" t="s">
        <v>157</v>
      </c>
      <c r="G18" s="44" t="s">
        <v>158</v>
      </c>
      <c r="H18" s="44" t="s">
        <v>159</v>
      </c>
      <c r="I18" s="44" t="s">
        <v>160</v>
      </c>
    </row>
    <row r="19" spans="4:9" ht="26" customHeight="1" x14ac:dyDescent="0.35">
      <c r="D19" s="50" t="s">
        <v>161</v>
      </c>
      <c r="E19" s="43">
        <v>2</v>
      </c>
      <c r="F19" s="43">
        <v>0</v>
      </c>
      <c r="G19" s="43" t="s">
        <v>162</v>
      </c>
      <c r="H19" s="43" t="s">
        <v>163</v>
      </c>
      <c r="I19" s="43" t="s">
        <v>164</v>
      </c>
    </row>
    <row r="20" spans="4:9" ht="26" customHeight="1" x14ac:dyDescent="0.35">
      <c r="D20" s="51" t="s">
        <v>165</v>
      </c>
      <c r="E20" s="44">
        <v>1</v>
      </c>
      <c r="F20" s="44">
        <v>0</v>
      </c>
      <c r="G20" s="44" t="s">
        <v>166</v>
      </c>
      <c r="H20" s="44" t="s">
        <v>167</v>
      </c>
      <c r="I20" s="44" t="s">
        <v>168</v>
      </c>
    </row>
    <row r="21" spans="4:9" ht="26" customHeight="1" x14ac:dyDescent="0.35">
      <c r="D21" s="50" t="s">
        <v>169</v>
      </c>
      <c r="E21" s="43" t="s">
        <v>170</v>
      </c>
      <c r="F21" s="43" t="s">
        <v>157</v>
      </c>
      <c r="G21" s="43" t="s">
        <v>171</v>
      </c>
      <c r="H21" s="43" t="s">
        <v>172</v>
      </c>
      <c r="I21" s="43" t="s">
        <v>173</v>
      </c>
    </row>
  </sheetData>
  <mergeCells count="4">
    <mergeCell ref="D5:I5"/>
    <mergeCell ref="D4:I4"/>
    <mergeCell ref="D15:I15"/>
    <mergeCell ref="D3:I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62D6-7DD9-4E28-B3E5-1CA099458433}">
  <dimension ref="A1:B10"/>
  <sheetViews>
    <sheetView workbookViewId="0">
      <selection activeCell="B10" sqref="B10"/>
    </sheetView>
  </sheetViews>
  <sheetFormatPr baseColWidth="10" defaultRowHeight="14.5" x14ac:dyDescent="0.35"/>
  <cols>
    <col min="1" max="1" width="24.26953125" bestFit="1" customWidth="1"/>
    <col min="2" max="2" width="94.90625" bestFit="1" customWidth="1"/>
  </cols>
  <sheetData>
    <row r="1" spans="1:2" ht="18.5" x14ac:dyDescent="0.45">
      <c r="A1" s="22" t="s">
        <v>110</v>
      </c>
      <c r="B1" s="23" t="s">
        <v>111</v>
      </c>
    </row>
    <row r="2" spans="1:2" x14ac:dyDescent="0.35">
      <c r="A2" s="26" t="s">
        <v>112</v>
      </c>
      <c r="B2" s="25" t="str">
        <f ca="1">_xlfn.FORMULATEXT(Dashboard!D11)</f>
        <v>=SOMME.SI(Base_clients!F2:F16; "Actif"; Base_clients!E2:E16)</v>
      </c>
    </row>
    <row r="3" spans="1:2" x14ac:dyDescent="0.35">
      <c r="A3" s="27" t="s">
        <v>113</v>
      </c>
      <c r="B3" s="25" t="str">
        <f ca="1">_xlfn.FORMULATEXT(Dashboard!D13)</f>
        <v>=NB.SI(Base_clients!F2:F16; "Actif")</v>
      </c>
    </row>
    <row r="4" spans="1:2" x14ac:dyDescent="0.35">
      <c r="A4" s="27" t="s">
        <v>114</v>
      </c>
      <c r="B4" s="25" t="str">
        <f ca="1">_xlfn.FORMULATEXT(Dashboard!D15)</f>
        <v>=MOYENNE.SI(Base_clients!F2:F16; "Actif"; Base_clients!E2:E16)</v>
      </c>
    </row>
    <row r="5" spans="1:2" x14ac:dyDescent="0.35">
      <c r="A5" s="27" t="s">
        <v>115</v>
      </c>
      <c r="B5" s="25" t="str">
        <f ca="1">_xlfn.FORMULATEXT(Dashboard!D17)</f>
        <v>=SOMME(Transactions!E2:E21)</v>
      </c>
    </row>
    <row r="6" spans="1:2" x14ac:dyDescent="0.35">
      <c r="A6" s="27" t="s">
        <v>116</v>
      </c>
      <c r="B6" s="25" t="str">
        <f ca="1">_xlfn.FORMULATEXT(Dashboard!D19)</f>
        <v>=NB.SI(Transactions!J2:J21; "Haute valeur")</v>
      </c>
    </row>
    <row r="7" spans="1:2" x14ac:dyDescent="0.35">
      <c r="A7" s="27" t="s">
        <v>117</v>
      </c>
      <c r="B7" s="25" t="str">
        <f ca="1">_xlfn.FORMULATEXT(Dashboard!D23)</f>
        <v>=INDEX(Base_clients!B2:B16; EQUIV(GRANDE.VALEUR(Base_clients!E2:E16;1);Base_clients!E2:E16;0))</v>
      </c>
    </row>
    <row r="8" spans="1:2" x14ac:dyDescent="0.35">
      <c r="A8" s="27" t="s">
        <v>118</v>
      </c>
      <c r="B8" s="25" t="str">
        <f ca="1">_xlfn.FORMULATEXT(Dashboard!E23)</f>
        <v>=INDEX(Base_clients!C2:C16; EQUIV(GRANDE.VALEUR(Base_clients!E2:E16;1);Base_clients!E2:E16;0))</v>
      </c>
    </row>
    <row r="9" spans="1:2" x14ac:dyDescent="0.35">
      <c r="A9" s="27" t="s">
        <v>119</v>
      </c>
      <c r="B9" s="25" t="str">
        <f ca="1">_xlfn.FORMULATEXT(Dashboard!F23)</f>
        <v>=RECHERCHEX(D23; Base_clients!B2:B16; Base_clients!E2:E16)</v>
      </c>
    </row>
    <row r="10" spans="1:2" x14ac:dyDescent="0.35">
      <c r="A10" s="28" t="s">
        <v>120</v>
      </c>
      <c r="B10" s="25" t="str">
        <f ca="1">_xlfn.FORMULATEXT(Dashboard!D26)</f>
        <v>=MAX(Transactions!E2:E21)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2055-2D37-4F5D-8DAF-27F93A8B3893}">
  <dimension ref="B6:O27"/>
  <sheetViews>
    <sheetView showGridLines="0" showRowColHeaders="0" zoomScale="90" zoomScaleNormal="90" workbookViewId="0">
      <selection activeCell="F41" sqref="F41"/>
    </sheetView>
  </sheetViews>
  <sheetFormatPr baseColWidth="10" defaultRowHeight="14.5" x14ac:dyDescent="0.35"/>
  <cols>
    <col min="2" max="2" width="32.6328125" bestFit="1" customWidth="1"/>
  </cols>
  <sheetData>
    <row r="6" spans="2:15" ht="14.5" customHeight="1" x14ac:dyDescent="0.35">
      <c r="B6" s="30" t="s">
        <v>126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2:15" ht="14.5" customHeight="1" x14ac:dyDescent="0.3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15" ht="14.5" customHeight="1" x14ac:dyDescent="0.35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2:15" ht="18.5" customHeight="1" x14ac:dyDescent="0.35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2:15" ht="18.5" customHeight="1" x14ac:dyDescent="0.35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2:15" ht="14.5" customHeight="1" x14ac:dyDescent="0.35">
      <c r="B11" s="31" t="s">
        <v>112</v>
      </c>
      <c r="C11" s="31"/>
      <c r="D11" s="32">
        <f>SUMIF(Base_clients!F2:F16, "Actif", Base_clients!E2:E16)</f>
        <v>74580000</v>
      </c>
      <c r="E11" s="32"/>
      <c r="F11" s="32"/>
      <c r="G11" s="32"/>
      <c r="H11" s="32"/>
    </row>
    <row r="12" spans="2:15" ht="14.5" customHeight="1" x14ac:dyDescent="0.35">
      <c r="B12" s="31"/>
      <c r="C12" s="31"/>
      <c r="D12" s="32"/>
      <c r="E12" s="32"/>
      <c r="F12" s="32"/>
      <c r="G12" s="32"/>
      <c r="H12" s="32"/>
    </row>
    <row r="13" spans="2:15" ht="14.5" customHeight="1" x14ac:dyDescent="0.35">
      <c r="B13" s="33" t="s">
        <v>121</v>
      </c>
      <c r="C13" s="33"/>
      <c r="D13" s="34">
        <f>COUNTIF(Base_clients!F2:F16, "Actif")</f>
        <v>12</v>
      </c>
      <c r="E13" s="34"/>
      <c r="F13" s="34"/>
      <c r="G13" s="34"/>
      <c r="H13" s="34"/>
    </row>
    <row r="14" spans="2:15" ht="14.5" customHeight="1" x14ac:dyDescent="0.35">
      <c r="B14" s="33"/>
      <c r="C14" s="33"/>
      <c r="D14" s="34"/>
      <c r="E14" s="34"/>
      <c r="F14" s="34"/>
      <c r="G14" s="34"/>
      <c r="H14" s="34"/>
    </row>
    <row r="15" spans="2:15" ht="14.5" customHeight="1" x14ac:dyDescent="0.35">
      <c r="B15" s="31" t="s">
        <v>114</v>
      </c>
      <c r="C15" s="31"/>
      <c r="D15" s="32">
        <f>AVERAGEIF(Base_clients!F2:F16, "Actif", Base_clients!E2:E16)</f>
        <v>6215000</v>
      </c>
      <c r="E15" s="32"/>
      <c r="F15" s="32"/>
      <c r="G15" s="32"/>
      <c r="H15" s="32"/>
    </row>
    <row r="16" spans="2:15" ht="14.5" customHeight="1" x14ac:dyDescent="0.35">
      <c r="B16" s="31"/>
      <c r="C16" s="31"/>
      <c r="D16" s="32"/>
      <c r="E16" s="32"/>
      <c r="F16" s="32"/>
      <c r="G16" s="32"/>
      <c r="H16" s="32"/>
    </row>
    <row r="17" spans="2:8" ht="14.5" customHeight="1" x14ac:dyDescent="0.35">
      <c r="B17" s="31" t="s">
        <v>122</v>
      </c>
      <c r="C17" s="31"/>
      <c r="D17" s="32">
        <f>SUM(Transactions!E2:E21)</f>
        <v>47965000</v>
      </c>
      <c r="E17" s="32"/>
      <c r="F17" s="32"/>
      <c r="G17" s="32"/>
      <c r="H17" s="32"/>
    </row>
    <row r="18" spans="2:8" ht="14.5" customHeight="1" x14ac:dyDescent="0.35">
      <c r="B18" s="31"/>
      <c r="C18" s="31"/>
      <c r="D18" s="32"/>
      <c r="E18" s="32"/>
      <c r="F18" s="32"/>
      <c r="G18" s="32"/>
      <c r="H18" s="32"/>
    </row>
    <row r="19" spans="2:8" ht="14.5" customHeight="1" x14ac:dyDescent="0.35">
      <c r="B19" s="35" t="s">
        <v>123</v>
      </c>
      <c r="C19" s="35"/>
      <c r="D19" s="36">
        <f>COUNTIF(Transactions!J2:J21, "Haute valeur")</f>
        <v>4</v>
      </c>
      <c r="E19" s="36"/>
      <c r="F19" s="36"/>
      <c r="G19" s="36"/>
      <c r="H19" s="36"/>
    </row>
    <row r="20" spans="2:8" ht="14.5" customHeight="1" x14ac:dyDescent="0.35">
      <c r="B20" s="35"/>
      <c r="C20" s="35"/>
      <c r="D20" s="36"/>
      <c r="E20" s="36"/>
      <c r="F20" s="36"/>
      <c r="G20" s="36"/>
      <c r="H20" s="36"/>
    </row>
    <row r="21" spans="2:8" ht="14.5" customHeight="1" x14ac:dyDescent="0.35">
      <c r="B21" s="35" t="s">
        <v>124</v>
      </c>
      <c r="C21" s="35"/>
      <c r="D21" s="37">
        <f>COUNTIF(Base_clients!F2:F16,"Inactif")/COUNTA(Base_clients!F2:F16)</f>
        <v>0.2</v>
      </c>
      <c r="E21" s="37"/>
      <c r="F21" s="37"/>
      <c r="G21" s="37"/>
      <c r="H21" s="37"/>
    </row>
    <row r="22" spans="2:8" ht="14.5" customHeight="1" x14ac:dyDescent="0.35">
      <c r="B22" s="35"/>
      <c r="C22" s="35"/>
      <c r="D22" s="37"/>
      <c r="E22" s="37"/>
      <c r="F22" s="37"/>
      <c r="G22" s="37"/>
      <c r="H22" s="37"/>
    </row>
    <row r="23" spans="2:8" ht="16" customHeight="1" x14ac:dyDescent="0.4">
      <c r="B23" s="31" t="s">
        <v>125</v>
      </c>
      <c r="C23" s="31"/>
      <c r="D23" s="24" t="str">
        <f>INDEX(Base_clients!B2:B16, MATCH(LARGE(Base_clients!E2:E16,1),Base_clients!E2:E16,0))</f>
        <v>KAMGA</v>
      </c>
      <c r="E23" s="24" t="str">
        <f>INDEX(Base_clients!C2:C16, MATCH(LARGE(Base_clients!E2:E16,1),Base_clients!E2:E16,0))</f>
        <v>Thiery</v>
      </c>
      <c r="F23" s="39">
        <f>_xlfn.XLOOKUP(D23, Base_clients!B2:B16, Base_clients!E2:E16)</f>
        <v>22000000</v>
      </c>
      <c r="G23" s="39"/>
      <c r="H23" s="39"/>
    </row>
    <row r="24" spans="2:8" ht="16" customHeight="1" x14ac:dyDescent="0.4">
      <c r="B24" s="31"/>
      <c r="C24" s="31"/>
      <c r="D24" s="24" t="str">
        <f>INDEX(Base_clients!$B$3:B17, MATCH(LARGE(Base_clients!$E$3:E17,2),Base_clients!$E$3:E17,0))</f>
        <v>ABANDA</v>
      </c>
      <c r="E24" s="24" t="str">
        <f>INDEX(Base_clients!$C$3:C17, MATCH(LARGE(Base_clients!$E$3:E17,2),Base_clients!$E$3:E17,0))</f>
        <v>Roger</v>
      </c>
      <c r="F24" s="39" cm="1">
        <f t="array" ref="F24">_xlfn.XLOOKUP(D24, Base_clients!$B$3:B17, Base_clients!$E$3:E17)</f>
        <v>15600000</v>
      </c>
      <c r="G24" s="39"/>
      <c r="H24" s="39"/>
    </row>
    <row r="25" spans="2:8" ht="16" customHeight="1" x14ac:dyDescent="0.4">
      <c r="B25" s="38"/>
      <c r="C25" s="38"/>
      <c r="D25" s="24" t="str">
        <f>INDEX(Base_clients!$B$4:B18, MATCH(LARGE(Base_clients!$E$4:E18,3),Base_clients!$E$4:E18,0))</f>
        <v>FOKAM</v>
      </c>
      <c r="E25" s="24" t="str">
        <f>INDEX(Base_clients!$C$4:C18, MATCH(LARGE(Base_clients!$E$4:E18,3),Base_clients!$E$4:E18,0))</f>
        <v>Olivier</v>
      </c>
      <c r="F25" s="39" cm="1">
        <f t="array" ref="F25">_xlfn.XLOOKUP(D25, Base_clients!$B$3:B18, Base_clients!$E$3:E18)</f>
        <v>9900000</v>
      </c>
      <c r="G25" s="39"/>
      <c r="H25" s="39"/>
    </row>
    <row r="26" spans="2:8" ht="14.5" customHeight="1" x14ac:dyDescent="0.35">
      <c r="B26" s="33" t="s">
        <v>120</v>
      </c>
      <c r="C26" s="33"/>
      <c r="D26" s="34">
        <f>MAX(Transactions!E2:E21)</f>
        <v>12000000</v>
      </c>
      <c r="E26" s="34"/>
      <c r="F26" s="34"/>
      <c r="G26" s="34"/>
      <c r="H26" s="34"/>
    </row>
    <row r="27" spans="2:8" ht="14.5" customHeight="1" x14ac:dyDescent="0.35">
      <c r="B27" s="33"/>
      <c r="C27" s="33"/>
      <c r="D27" s="34"/>
      <c r="E27" s="34"/>
      <c r="F27" s="34"/>
      <c r="G27" s="34"/>
      <c r="H27" s="34"/>
    </row>
  </sheetData>
  <mergeCells count="19">
    <mergeCell ref="B15:C16"/>
    <mergeCell ref="D15:H16"/>
    <mergeCell ref="B26:C27"/>
    <mergeCell ref="D26:H27"/>
    <mergeCell ref="B17:C18"/>
    <mergeCell ref="D17:H18"/>
    <mergeCell ref="B19:C20"/>
    <mergeCell ref="D19:H20"/>
    <mergeCell ref="B21:C22"/>
    <mergeCell ref="D21:H22"/>
    <mergeCell ref="B23:C25"/>
    <mergeCell ref="F23:H23"/>
    <mergeCell ref="F24:H24"/>
    <mergeCell ref="F25:H25"/>
    <mergeCell ref="B6:O10"/>
    <mergeCell ref="B11:C12"/>
    <mergeCell ref="D11:H12"/>
    <mergeCell ref="B13:C14"/>
    <mergeCell ref="D13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Base_clients</vt:lpstr>
      <vt:lpstr>Transactions</vt:lpstr>
      <vt:lpstr>Journal_nettoyage</vt:lpstr>
      <vt:lpstr>Calculs_KPIs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kisa</dc:creator>
  <cp:lastModifiedBy>johann kisa</cp:lastModifiedBy>
  <dcterms:created xsi:type="dcterms:W3CDTF">2026-05-01T10:02:38Z</dcterms:created>
  <dcterms:modified xsi:type="dcterms:W3CDTF">2026-05-05T00:34:35Z</dcterms:modified>
</cp:coreProperties>
</file>